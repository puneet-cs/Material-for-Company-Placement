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Practice Links" sheetId="1" state="visible" r:id="rId1"/>
    <sheet xmlns:r="http://schemas.openxmlformats.org/officeDocument/2006/relationships" name="Question Bank Details" sheetId="2" state="visible" r:id="rId2"/>
    <sheet xmlns:r="http://schemas.openxmlformats.org/officeDocument/2006/relationships" name="Validation Report" sheetId="3" state="visible" r:id="rId3"/>
  </sheets>
  <definedNames>
    <definedName name="_xlnm._FilterDatabase" localSheetId="1" hidden="1">'Question Bank Details'!$A$1:$P$131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8"/>
      <sz val="14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3" pivotButton="0" quotePrefix="0" xfId="0"/>
    <xf numFmtId="0" fontId="4" fillId="5" borderId="1" applyAlignment="1" pivotButton="0" quotePrefix="0" xfId="0">
      <alignment vertical="center" wrapText="1"/>
    </xf>
    <xf numFmtId="0" fontId="0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7" pivotButton="0" quotePrefix="0" xfId="0"/>
    <xf numFmtId="0" fontId="6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8" pivotButton="0" quotePrefix="0" xfId="0"/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1" customWidth="1" min="3" max="3"/>
    <col width="38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</cols>
  <sheetData>
    <row r="1" ht="24" customHeight="1">
      <c r="A1" s="1" t="inlineStr">
        <is>
          <t>#</t>
        </is>
      </c>
      <c r="B1" s="1" t="inlineStr">
        <is>
          <t>Section</t>
        </is>
      </c>
      <c r="C1" s="1" t="inlineStr">
        <is>
          <t>Topic</t>
        </is>
      </c>
      <c r="D1" s="1" t="inlineStr">
        <is>
          <t>Key Concepts</t>
        </is>
      </c>
      <c r="E1" s="1" t="inlineStr">
        <is>
          <t>Q1 (easiest)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 (hardest)</t>
        </is>
      </c>
    </row>
    <row r="2" ht="42" customHeight="1">
      <c r="A2" s="2" t="n">
        <v>1</v>
      </c>
      <c r="B2" s="3" t="inlineStr">
        <is>
          <t>SQL Basics</t>
        </is>
      </c>
      <c r="C2" s="4" t="inlineStr">
        <is>
          <t>SELECT &amp; Column Aliases</t>
        </is>
      </c>
      <c r="D2" s="5" t="inlineStr">
        <is>
          <t>SELECT *, choosing columns, AS aliases</t>
        </is>
      </c>
      <c r="E2" s="6" t="str">
        <f>HYPERLINK("https://www.hackerrank.com/challenges/select-all-sql/problem","Select All"&amp;CHAR(10)&amp;"HackerRank · Easy")</f>
        <v>Select All
HackerRank · Easy</v>
      </c>
      <c r="F2" s="6" t="str">
        <f>HYPERLINK("https://www.hackerrank.com/challenges/weather-observation-station-1/problem","Weather Observation Station 1"&amp;CHAR(10)&amp;"HackerRank · Easy")</f>
        <v>Weather Observation Station 1
HackerRank · Easy</v>
      </c>
      <c r="G2" s="7" t="str">
        <f>HYPERLINK("https://www.codechef.com/practice/course/sql-case-studies-topic-wise/SQLBP01/problems/SQLPBP11","All Products (SQLPBP11)"&amp;CHAR(10)&amp;"CodeChef · Easy")</f>
        <v>All Products (SQLPBP11)
CodeChef · Easy</v>
      </c>
      <c r="H2" s="7" t="str">
        <f>HYPERLINK("https://www.codechef.com/learn/course/sql/SQ00LS04/problems/GSQ17","SELECT Query (GSQ17)"&amp;CHAR(10)&amp;"CodeChef · Easy")</f>
        <v>SELECT Query (GSQ17)
CodeChef · Easy</v>
      </c>
      <c r="I2" s="7" t="str">
        <f>HYPERLINK("https://www.codechef.com/learn/course/sql/SQ00LS08/problems/GSQ37A","Rename columns using As (GSQ37A)"&amp;CHAR(10)&amp;"CodeChef · Easy")</f>
        <v>Rename columns using As (GSQ37A)
CodeChef · Easy</v>
      </c>
    </row>
    <row r="3" ht="42" customHeight="1">
      <c r="A3" s="2" t="n">
        <v>2</v>
      </c>
      <c r="B3" s="8" t="n"/>
      <c r="C3" s="4" t="inlineStr">
        <is>
          <t>CREATE TABLE &amp; INSERT INTO</t>
        </is>
      </c>
      <c r="D3" s="5" t="inlineStr">
        <is>
          <t>Column data types, CREATE TABLE, single- and multi-row INSERT</t>
        </is>
      </c>
      <c r="E3" s="7" t="str">
        <f>HYPERLINK("https://www.codechef.com/learn/course/sql/SQ00LS01/problems/GSQ04","Create table (GSQ04)"&amp;CHAR(10)&amp;"CodeChef · Easy")</f>
        <v>Create table (GSQ04)
CodeChef · Easy</v>
      </c>
      <c r="F3" s="7" t="str">
        <f>HYPERLINK("https://www.codechef.com/learn/course/sql/SQ00LS01/problems/GSQ07","How to insert to a table (GSQ07)"&amp;CHAR(10)&amp;"CodeChef · Easy")</f>
        <v>How to insert to a table (GSQ07)
CodeChef · Easy</v>
      </c>
      <c r="G3" s="7" t="str">
        <f>HYPERLINK("https://www.codechef.com/learn/course/sql/SQ00LS01/problems/GSQ05","Inserting Data into a Table (GSQ05)"&amp;CHAR(10)&amp;"CodeChef · Easy")</f>
        <v>Inserting Data into a Table (GSQ05)
CodeChef · Easy</v>
      </c>
      <c r="H3" s="7" t="str">
        <f>HYPERLINK("https://www.codechef.com/learn/course/sql/SQ00LS01/problems/GSQ06","Debug this query (GSQ06)"&amp;CHAR(10)&amp;"CodeChef · Medium")</f>
        <v>Debug this query (GSQ06)
CodeChef · Medium</v>
      </c>
      <c r="I3" s="7" t="str">
        <f>HYPERLINK("https://www.codechef.com/learn/course/sql/SQ00LS03/problems/GSQ53","Project - Customer Database (GSQ53)"&amp;CHAR(10)&amp;"CodeChef · Medium")</f>
        <v>Project - Customer Database (GSQ53)
CodeChef · Medium</v>
      </c>
    </row>
    <row r="4" ht="42" customHeight="1">
      <c r="A4" s="2" t="n">
        <v>3</v>
      </c>
      <c r="B4" s="8" t="n"/>
      <c r="C4" s="4" t="inlineStr">
        <is>
          <t>Filtering with WHERE</t>
        </is>
      </c>
      <c r="D4" s="5" t="inlineStr">
        <is>
          <t>Comparison operators, AND / OR / NOT, IS NULL / IS NOT NULL</t>
        </is>
      </c>
      <c r="E4" s="9" t="str">
        <f>HYPERLINK("https://leetcode.com/problems/recyclable-and-low-fat-products/","1757. Recyclable and Low Fat Products"&amp;CHAR(10)&amp;"LeetCode · Easy")</f>
        <v>1757. Recyclable and Low Fat Products
LeetCode · Easy</v>
      </c>
      <c r="F4" s="6" t="str">
        <f>HYPERLINK("https://www.hackerrank.com/challenges/revising-the-select-query/problem","Revising the Select Query I"&amp;CHAR(10)&amp;"HackerRank · Easy")</f>
        <v>Revising the Select Query I
HackerRank · Easy</v>
      </c>
      <c r="G4" s="7" t="str">
        <f>HYPERLINK("https://www.codechef.com/practice/course/sql-case-studies-topic-wise/SQLBP01/problems/SQLPBP12","High Price of Products (SQLPBP12)"&amp;CHAR(10)&amp;"CodeChef · Easy")</f>
        <v>High Price of Products (SQLPBP12)
CodeChef · Easy</v>
      </c>
      <c r="H4" s="7" t="str">
        <f>HYPERLINK("https://www.codechef.com/practice/course/sql-case-studies-topic-wise/SQLBP01/problems/SQLPBP07","Handling NULL Values (SQLPBP07)"&amp;CHAR(10)&amp;"CodeChef · Easy")</f>
        <v>Handling NULL Values (SQLPBP07)
CodeChef · Easy</v>
      </c>
      <c r="I4" s="9" t="str">
        <f>HYPERLINK("https://leetcode.com/problems/find-customer-referee/","584. Find Customer Referee"&amp;CHAR(10)&amp;"LeetCode · Medium")</f>
        <v>584. Find Customer Referee
LeetCode · Medium</v>
      </c>
    </row>
    <row r="5" ht="42" customHeight="1">
      <c r="A5" s="2" t="n">
        <v>4</v>
      </c>
      <c r="B5" s="8" t="n"/>
      <c r="C5" s="4" t="inlineStr">
        <is>
          <t>DISTINCT, ORDER BY &amp; LIMIT</t>
        </is>
      </c>
      <c r="D5" s="5" t="inlineStr">
        <is>
          <t>Removing duplicates, sorting (ASC / DESC, several keys), top-N with LIMIT</t>
        </is>
      </c>
      <c r="E5" s="7" t="str">
        <f>HYPERLINK("https://www.codechef.com/practice/course/sql-case-studies-topic-wise/SQLBP01/problems/SQLPBP13","Distinct Companies (SQLPBP13)"&amp;CHAR(10)&amp;"CodeChef · Easy")</f>
        <v>Distinct Companies (SQLPBP13)
CodeChef · Easy</v>
      </c>
      <c r="F5" s="6" t="str">
        <f>HYPERLINK("https://www.hackerrank.com/challenges/name-of-employees/problem","Employee Names"&amp;CHAR(10)&amp;"HackerRank · Easy")</f>
        <v>Employee Names
HackerRank · Easy</v>
      </c>
      <c r="G5" s="9" t="str">
        <f>HYPERLINK("https://leetcode.com/problems/article-views-i/","1148. Article Views I"&amp;CHAR(10)&amp;"LeetCode · Easy")</f>
        <v>1148. Article Views I
LeetCode · Easy</v>
      </c>
      <c r="H5" s="6" t="str">
        <f>HYPERLINK("https://www.hackerrank.com/challenges/salary-of-employees/problem","Employee Salaries"&amp;CHAR(10)&amp;"HackerRank · Medium")</f>
        <v>Employee Salaries
HackerRank · Medium</v>
      </c>
      <c r="I5" s="7" t="str">
        <f>HYPERLINK("https://www.codechef.com/learn/course/sql/BEGSQLPR/problems/RSMSPR03C","Task-3C Data Retrieval Using Queries (RSMSPR03C)"&amp;CHAR(10)&amp;"CodeChef · Medium")</f>
        <v>Task-3C Data Retrieval Using Queries (RSMSPR03C)
CodeChef · Medium</v>
      </c>
    </row>
    <row r="6" ht="42" customHeight="1">
      <c r="A6" s="2" t="n">
        <v>5</v>
      </c>
      <c r="B6" s="10" t="n"/>
      <c r="C6" s="4" t="inlineStr">
        <is>
          <t>BETWEEN, IN &amp; LIKE</t>
        </is>
      </c>
      <c r="D6" s="5" t="inlineStr">
        <is>
          <t>Ranges, value lists, wildcard patterns (% and _), NOT LIKE</t>
        </is>
      </c>
      <c r="E6" s="7" t="str">
        <f>HYPERLINK("https://www.codechef.com/learn/course/sql/SQ00LS04/problems/GSQ19A","BETWEEN (GSQ19A)"&amp;CHAR(10)&amp;"CodeChef · Easy")</f>
        <v>BETWEEN (GSQ19A)
CodeChef · Easy</v>
      </c>
      <c r="F6" s="7" t="str">
        <f>HYPERLINK("https://www.codechef.com/learn/course/sql/SQ00LS05/problems/GSQ26","Practice - Filter with multiple Like patterns (GSQ26)"&amp;CHAR(10)&amp;"CodeChef · Easy")</f>
        <v>Practice - Filter with multiple Like patterns (GSQ26)
CodeChef · Easy</v>
      </c>
      <c r="G6" s="9" t="str">
        <f>HYPERLINK("https://leetcode.com/problems/patients-with-a-condition/","1527. Patients With a Condition"&amp;CHAR(10)&amp;"LeetCode · Medium")</f>
        <v>1527. Patients With a Condition
LeetCode · Medium</v>
      </c>
      <c r="H6" s="6" t="str">
        <f>HYPERLINK("https://www.hackerrank.com/challenges/weather-observation-station-6/problem","Weather Observation Station 6"&amp;CHAR(10)&amp;"HackerRank · Medium")</f>
        <v>Weather Observation Station 6
HackerRank · Medium</v>
      </c>
      <c r="I6" s="6" t="str">
        <f>HYPERLINK("https://www.hackerrank.com/challenges/weather-observation-station-12/problem","Weather Observation Station 12"&amp;CHAR(10)&amp;"HackerRank · Challenging")</f>
        <v>Weather Observation Station 12
HackerRank · Challenging</v>
      </c>
    </row>
    <row r="7" ht="42" customHeight="1">
      <c r="A7" s="2" t="n">
        <v>6</v>
      </c>
      <c r="B7" s="3" t="inlineStr">
        <is>
          <t>Functions &amp; Aggregation</t>
        </is>
      </c>
      <c r="C7" s="4" t="inlineStr">
        <is>
          <t>String Functions</t>
        </is>
      </c>
      <c r="D7" s="5" t="inlineStr">
        <is>
          <t>LENGTH, UPPER / LOWER, SUBSTRING / LEFT / RIGHT, CONCAT, REPLACE, REGEXP</t>
        </is>
      </c>
      <c r="E7" s="9" t="str">
        <f>HYPERLINK("https://leetcode.com/problems/invalid-tweets/","1683. Invalid Tweets"&amp;CHAR(10)&amp;"LeetCode · Easy")</f>
        <v>1683. Invalid Tweets
LeetCode · Easy</v>
      </c>
      <c r="F7" s="6" t="str">
        <f>HYPERLINK("https://www.hackerrank.com/challenges/more-than-75-marks/problem","Higher Than 75 Marks"&amp;CHAR(10)&amp;"HackerRank · Easy")</f>
        <v>Higher Than 75 Marks
HackerRank · Easy</v>
      </c>
      <c r="G7" s="9" t="str">
        <f>HYPERLINK("https://leetcode.com/problems/fix-names-in-a-table/","1667. Fix Names in a Table"&amp;CHAR(10)&amp;"LeetCode · Medium")</f>
        <v>1667. Fix Names in a Table
LeetCode · Medium</v>
      </c>
      <c r="H7" s="6" t="str">
        <f>HYPERLINK("https://www.hackerrank.com/challenges/weather-observation-station-5/problem","Weather Observation Station 5"&amp;CHAR(10)&amp;"HackerRank · Medium")</f>
        <v>Weather Observation Station 5
HackerRank · Medium</v>
      </c>
      <c r="I7" s="9" t="str">
        <f>HYPERLINK("https://leetcode.com/problems/find-users-with-valid-e-mails/","1517. Find Users With Valid E-Mails"&amp;CHAR(10)&amp;"LeetCode · Challenging")</f>
        <v>1517. Find Users With Valid E-Mails
LeetCode · Challenging</v>
      </c>
    </row>
    <row r="8" ht="42" customHeight="1">
      <c r="A8" s="2" t="n">
        <v>7</v>
      </c>
      <c r="B8" s="8" t="n"/>
      <c r="C8" s="4" t="inlineStr">
        <is>
          <t>Aggregate Functions</t>
        </is>
      </c>
      <c r="D8" s="5" t="inlineStr">
        <is>
          <t>COUNT, SUM, AVG, MIN, MAX (with WHERE)</t>
        </is>
      </c>
      <c r="E8" s="6" t="str">
        <f>HYPERLINK("https://www.hackerrank.com/challenges/revising-aggregations-the-count-function/problem","Revising Aggregations - The Count Function"&amp;CHAR(10)&amp;"HackerRank · Easy")</f>
        <v>Revising Aggregations - The Count Function
HackerRank · Easy</v>
      </c>
      <c r="F8" s="7" t="str">
        <f>HYPERLINK("https://www.codechef.com/practice/course/sql-case-studies-topic-wise/SQLBP01/problems/SQLPBP02","Fiction Collection Size (SQLPBP02)"&amp;CHAR(10)&amp;"CodeChef · Easy")</f>
        <v>Fiction Collection Size (SQLPBP02)
CodeChef · Easy</v>
      </c>
      <c r="G8" s="7" t="str">
        <f>HYPERLINK("https://www.codechef.com/practice/course/sql-case-studies-topic-wise/SQLBP01/problems/SQLPBP14","Average Salary (SQLPBP14)"&amp;CHAR(10)&amp;"CodeChef · Easy")</f>
        <v>Average Salary (SQLPBP14)
CodeChef · Easy</v>
      </c>
      <c r="H8" s="7" t="str">
        <f>HYPERLINK("https://www.codechef.com/learn/course/sql/SQ00LS09/problems/GSQ44","Problem - SUM() and AVG() (GSQ44)"&amp;CHAR(10)&amp;"CodeChef · Medium")</f>
        <v>Problem - SUM() and AVG() (GSQ44)
CodeChef · Medium</v>
      </c>
      <c r="I8" s="6" t="str">
        <f>HYPERLINK("https://www.hackerrank.com/challenges/population-density-difference/problem","Population Density Difference"&amp;CHAR(10)&amp;"HackerRank · Medium")</f>
        <v>Population Density Difference
HackerRank · Medium</v>
      </c>
    </row>
    <row r="9" ht="42" customHeight="1">
      <c r="A9" s="2" t="n">
        <v>8</v>
      </c>
      <c r="B9" s="8" t="n"/>
      <c r="C9" s="4" t="inlineStr">
        <is>
          <t>Numeric Functions</t>
        </is>
      </c>
      <c r="D9" s="5" t="inlineStr">
        <is>
          <t>ROUND, CEIL / FLOOR, MOD, POWER / SQRT</t>
        </is>
      </c>
      <c r="E9" s="6" t="str">
        <f>HYPERLINK("https://www.hackerrank.com/challenges/weather-observation-station-3/problem","Weather Observation Station 3"&amp;CHAR(10)&amp;"HackerRank · Easy")</f>
        <v>Weather Observation Station 3
HackerRank · Easy</v>
      </c>
      <c r="F9" s="9" t="str">
        <f>HYPERLINK("https://leetcode.com/problems/not-boring-movies/","620. Not Boring Movies"&amp;CHAR(10)&amp;"LeetCode · Easy")</f>
        <v>620. Not Boring Movies
LeetCode · Easy</v>
      </c>
      <c r="G9" s="7" t="str">
        <f>HYPERLINK("https://www.codechef.com/learn/course/sql/SQ00LS08/problems/GSQ41","Problem-ROUND() (GSQ41)"&amp;CHAR(10)&amp;"CodeChef · Easy")</f>
        <v>Problem-ROUND() (GSQ41)
CodeChef · Easy</v>
      </c>
      <c r="H9" s="6" t="str">
        <f>HYPERLINK("https://www.hackerrank.com/challenges/the-blunder/problem","The Blunder"&amp;CHAR(10)&amp;"HackerRank · Medium")</f>
        <v>The Blunder
HackerRank · Medium</v>
      </c>
      <c r="I9" s="6" t="str">
        <f>HYPERLINK("https://www.hackerrank.com/challenges/weather-observation-station-19/problem","Weather Observation Station 19"&amp;CHAR(10)&amp;"HackerRank · Challenging")</f>
        <v>Weather Observation Station 19
HackerRank · Challenging</v>
      </c>
    </row>
    <row r="10" ht="42" customHeight="1">
      <c r="A10" s="2" t="n">
        <v>9</v>
      </c>
      <c r="B10" s="8" t="n"/>
      <c r="C10" s="4" t="inlineStr">
        <is>
          <t>GROUP BY</t>
        </is>
      </c>
      <c r="D10" s="5" t="inlineStr">
        <is>
          <t>Grouping by one or more columns, COUNT(DISTINCT), GROUP_CONCAT / STRING_AGG</t>
        </is>
      </c>
      <c r="E10" s="9" t="str">
        <f>HYPERLINK("https://leetcode.com/problems/number-of-unique-subjects-taught-by-each-teacher/","2356. Number of Unique Subjects Taught by Each Teacher"&amp;CHAR(10)&amp;"LeetCode · Easy")</f>
        <v>2356. Number of Unique Subjects Taught by Each Teacher
LeetCode · Easy</v>
      </c>
      <c r="F10" s="7" t="str">
        <f>HYPERLINK("https://www.codechef.com/practice/course/sql-case-studies-topic-wise/SQLBP01/problems/SQLPBP09","Department of Each Employee (SQLPBP09)"&amp;CHAR(10)&amp;"CodeChef · Easy")</f>
        <v>Department of Each Employee (SQLPBP09)
CodeChef · Easy</v>
      </c>
      <c r="G10" s="9" t="str">
        <f>HYPERLINK("https://leetcode.com/problems/find-total-time-spent-by-each-employee/","1741. Find Total Time Spent by Each Employee"&amp;CHAR(10)&amp;"LeetCode · Easy")</f>
        <v>1741. Find Total Time Spent by Each Employee
LeetCode · Easy</v>
      </c>
      <c r="H10" s="9" t="str">
        <f>HYPERLINK("https://leetcode.com/problems/group-sold-products-by-the-date/","1484. Group Sold Products By The Date"&amp;CHAR(10)&amp;"LeetCode · Medium")</f>
        <v>1484. Group Sold Products By The Date
LeetCode · Medium</v>
      </c>
      <c r="I10" s="6" t="str">
        <f>HYPERLINK("https://www.hackerrank.com/challenges/the-pads/problem","The PADS"&amp;CHAR(10)&amp;"HackerRank · Challenging")</f>
        <v>The PADS
HackerRank · Challenging</v>
      </c>
    </row>
    <row r="11" ht="42" customHeight="1">
      <c r="A11" s="2" t="n">
        <v>10</v>
      </c>
      <c r="B11" s="10" t="n"/>
      <c r="C11" s="4" t="inlineStr">
        <is>
          <t>HAVING</t>
        </is>
      </c>
      <c r="D11" s="5" t="inlineStr">
        <is>
          <t>Filtering groups, WHERE vs HAVING</t>
        </is>
      </c>
      <c r="E11" s="9" t="str">
        <f>HYPERLINK("https://leetcode.com/problems/duplicate-emails/","182. Duplicate Emails"&amp;CHAR(10)&amp;"LeetCode · Easy")</f>
        <v>182. Duplicate Emails
LeetCode · Easy</v>
      </c>
      <c r="F11" s="9" t="str">
        <f>HYPERLINK("https://leetcode.com/problems/classes-with-at-least-5-students/","596. Classes With at Least 5 Students"&amp;CHAR(10)&amp;"LeetCode · Easy")</f>
        <v>596. Classes With at Least 5 Students
LeetCode · Easy</v>
      </c>
      <c r="G11" s="7" t="str">
        <f>HYPERLINK("https://www.codechef.com/learn/course/sql/SQ00LS09/problems/GSQ46","Having (GSQ46)"&amp;CHAR(10)&amp;"CodeChef · Medium")</f>
        <v>Having (GSQ46)
CodeChef · Medium</v>
      </c>
      <c r="H11" s="9" t="str">
        <f>HYPERLINK("https://leetcode.com/problems/actors-and-directors-who-cooperated-at-least-three-times/","1050. Actors and Directors Who Cooperated At Least Three Times"&amp;CHAR(10)&amp;"LeetCode · Medium")</f>
        <v>1050. Actors and Directors Who Cooperated At Least Three Times
LeetCode · Medium</v>
      </c>
      <c r="I11" s="7" t="str">
        <f>HYPERLINK("https://www.codechef.com/learn/course/sql/SQ00LS09/problems/GSQ47","Problem-Group By &amp; Having (GSQ47)"&amp;CHAR(10)&amp;"CodeChef · Challenging")</f>
        <v>Problem-Group By &amp; Having (GSQ47)
CodeChef · Challenging</v>
      </c>
    </row>
    <row r="12" ht="42" customHeight="1">
      <c r="A12" s="2" t="n">
        <v>11</v>
      </c>
      <c r="B12" s="3" t="inlineStr">
        <is>
          <t>Conditional Logic &amp; Dates</t>
        </is>
      </c>
      <c r="C12" s="4" t="inlineStr">
        <is>
          <t>CASE Expressions</t>
        </is>
      </c>
      <c r="D12" s="5" t="inlineStr">
        <is>
          <t>Searched CASE, CASE in SELECT / ORDER BY, CASE inside aggregates</t>
        </is>
      </c>
      <c r="E12" s="6" t="str">
        <f>HYPERLINK("https://www.hackerrank.com/challenges/what-type-of-triangle/problem","Type of Triangle"&amp;CHAR(10)&amp;"HackerRank · Easy")</f>
        <v>Type of Triangle
HackerRank · Easy</v>
      </c>
      <c r="F12" s="9" t="str">
        <f>HYPERLINK("https://leetcode.com/problems/triangle-judgement/","610. Triangle Judgement"&amp;CHAR(10)&amp;"LeetCode · Easy")</f>
        <v>610. Triangle Judgement
LeetCode · Easy</v>
      </c>
      <c r="G12" s="9" t="str">
        <f>HYPERLINK("https://leetcode.com/problems/calculate-special-bonus/","1873. Calculate Special Bonus"&amp;CHAR(10)&amp;"LeetCode · Medium")</f>
        <v>1873. Calculate Special Bonus
LeetCode · Medium</v>
      </c>
      <c r="H12" s="7" t="str">
        <f>HYPERLINK("https://www.codechef.com/learn/course/sql-intermediate/SQ00BS08/problems/GSQ81","Case - When (GSQ81)"&amp;CHAR(10)&amp;"CodeChef · Medium")</f>
        <v>Case - When (GSQ81)
CodeChef · Medium</v>
      </c>
      <c r="I12" s="7" t="str">
        <f>HYPERLINK("https://www.codechef.com/learn/course/sql-intermediate/SQ00BS08/problems/GSQ83","Sum using Case (GSQ83)"&amp;CHAR(10)&amp;"CodeChef · Medium")</f>
        <v>Sum using Case (GSQ83)
CodeChef · Medium</v>
      </c>
    </row>
    <row r="13" ht="42" customHeight="1">
      <c r="A13" s="2" t="n">
        <v>12</v>
      </c>
      <c r="B13" s="8" t="n"/>
      <c r="C13" s="4" t="inlineStr">
        <is>
          <t>Date &amp; Time Functions</t>
        </is>
      </c>
      <c r="D13" s="5" t="inlineStr">
        <is>
          <t>YEAR / MONTH, DATE_FORMAT / strftime, DATEDIFF / JULIANDAY, date ranges</t>
        </is>
      </c>
      <c r="E13" s="9" t="str">
        <f>HYPERLINK("https://leetcode.com/problems/user-activity-for-the-past-30-days-i/","1141. User Activity for the Past 30 Days I"&amp;CHAR(10)&amp;"LeetCode · Easy")</f>
        <v>1141. User Activity for the Past 30 Days I
LeetCode · Easy</v>
      </c>
      <c r="F13" s="9" t="str">
        <f>HYPERLINK("https://leetcode.com/problems/the-latest-login-in-2020/","1890. The Latest Login in 2020"&amp;CHAR(10)&amp;"LeetCode · Easy")</f>
        <v>1890. The Latest Login in 2020
LeetCode · Easy</v>
      </c>
      <c r="G13" s="7" t="str">
        <f>HYPERLINK("https://www.codechef.com/learn/course/sql/BEGSQLPR/problems/RSMSPR06C","Task-6C Aggregations &amp; Grouping (RSMSPR06C)"&amp;CHAR(10)&amp;"CodeChef · Medium")</f>
        <v>Task-6C Aggregations &amp; Grouping (RSMSPR06C)
CodeChef · Medium</v>
      </c>
      <c r="H13" s="7" t="str">
        <f>HYPERLINK("https://www.codechef.com/learn/course/sql/BEGSQLPR/problems/RSMSPR08","Task-8 Date Functions (RSMSPR08)"&amp;CHAR(10)&amp;"CodeChef · Medium")</f>
        <v>Task-8 Date Functions (RSMSPR08)
CodeChef · Medium</v>
      </c>
      <c r="I13" s="9" t="str">
        <f>HYPERLINK("https://leetcode.com/problems/monthly-transactions-i/","1193. Monthly Transactions I"&amp;CHAR(10)&amp;"LeetCode · Challenging")</f>
        <v>1193. Monthly Transactions I
LeetCode · Challenging</v>
      </c>
    </row>
    <row r="14" ht="42" customHeight="1">
      <c r="A14" s="2" t="n">
        <v>13</v>
      </c>
      <c r="B14" s="10" t="n"/>
      <c r="C14" s="4" t="inlineStr">
        <is>
          <t>Pivoting &amp; Conditional Aggregation</t>
        </is>
      </c>
      <c r="D14" s="5" t="inlineStr">
        <is>
          <t>SUM / AVG / COUNT over CASE, rows-to-columns reports, ratios and percentages</t>
        </is>
      </c>
      <c r="E14" s="9" t="str">
        <f>HYPERLINK("https://leetcode.com/problems/reformat-department-table/","1179. Reformat Department Table"&amp;CHAR(10)&amp;"LeetCode · Easy")</f>
        <v>1179. Reformat Department Table
LeetCode · Easy</v>
      </c>
      <c r="F14" s="9" t="str">
        <f>HYPERLINK("https://leetcode.com/problems/queries-quality-and-percentage/","1211. Queries Quality and Percentage"&amp;CHAR(10)&amp;"LeetCode · Easy")</f>
        <v>1211. Queries Quality and Percentage
LeetCode · Easy</v>
      </c>
      <c r="G14" s="7" t="str">
        <f>HYPERLINK("https://www.codechef.com/learn/course/sql-intermediate/SQ00BS08/problems/GSQ84","Combining Aggregates (GSQ84)"&amp;CHAR(10)&amp;"CodeChef · Medium")</f>
        <v>Combining Aggregates (GSQ84)
CodeChef · Medium</v>
      </c>
      <c r="H14" s="9" t="str">
        <f>HYPERLINK("https://leetcode.com/problems/capital-gainloss/","1393. Capital Gain/Loss"&amp;CHAR(10)&amp;"LeetCode · Medium")</f>
        <v>1393. Capital Gain/Loss
LeetCode · Medium</v>
      </c>
      <c r="I14" s="9" t="str">
        <f>HYPERLINK("https://leetcode.com/problems/odd-and-even-transactions/","3220. Odd and Even Transactions"&amp;CHAR(10)&amp;"LeetCode · Challenging")</f>
        <v>3220. Odd and Even Transactions
LeetCode · Challenging</v>
      </c>
    </row>
    <row r="15" ht="42" customHeight="1">
      <c r="A15" s="2" t="n">
        <v>14</v>
      </c>
      <c r="B15" s="3" t="inlineStr">
        <is>
          <t>Data Modification &amp; Schema</t>
        </is>
      </c>
      <c r="C15" s="4" t="inlineStr">
        <is>
          <t>UPDATE &amp; DELETE</t>
        </is>
      </c>
      <c r="D15" s="5" t="inlineStr">
        <is>
          <t>UPDATE ... SET ... WHERE, DELETE FROM ... WHERE, UPDATE with CASE</t>
        </is>
      </c>
      <c r="E15" s="7" t="str">
        <f>HYPERLINK("https://www.codechef.com/learn/course/sql/SQ00LS02/problems/GSQ11","Practice Problem - Update table (GSQ11)"&amp;CHAR(10)&amp;"CodeChef · Easy")</f>
        <v>Practice Problem - Update table (GSQ11)
CodeChef · Easy</v>
      </c>
      <c r="F15" s="7" t="str">
        <f>HYPERLINK("https://www.codechef.com/learn/course/sql/SQ00LS03/problems/GSQ56","Practice - Delete Single Record (GSQ56)"&amp;CHAR(10)&amp;"CodeChef · Easy")</f>
        <v>Practice - Delete Single Record (GSQ56)
CodeChef · Easy</v>
      </c>
      <c r="G15" s="7" t="str">
        <f>HYPERLINK("https://www.codechef.com/learn/course/sql/SQ00LS02/problems/GSQ14","Practice - Delete From (GSQ14)"&amp;CHAR(10)&amp;"CodeChef · Easy")</f>
        <v>Practice - Delete From (GSQ14)
CodeChef · Easy</v>
      </c>
      <c r="H15" s="7" t="str">
        <f>HYPERLINK("https://www.codechef.com/learn/course/sql/BEGSQLPR/problems/RSMSPR04C","Task-4C Data Modification (Update and Alter) (RSMSPR04C)"&amp;CHAR(10)&amp;"CodeChef · Medium")</f>
        <v>Task-4C Data Modification (Update and Alter) (RSMSPR04C)
CodeChef · Medium</v>
      </c>
      <c r="I15" s="9" t="str">
        <f>HYPERLINK("https://leetcode.com/problems/swap-sex-of-employees/","627. Swap Sex of Employees"&amp;CHAR(10)&amp;"LeetCode · Medium")</f>
        <v>627. Swap Sex of Employees
LeetCode · Medium</v>
      </c>
    </row>
    <row r="16" ht="42" customHeight="1">
      <c r="A16" s="2" t="n">
        <v>15</v>
      </c>
      <c r="B16" s="10" t="n"/>
      <c r="C16" s="4" t="inlineStr">
        <is>
          <t>ALTER TABLE &amp; Constraints</t>
        </is>
      </c>
      <c r="D16" s="5" t="inlineStr">
        <is>
          <t>ADD COLUMN, DEFAULT, PRIMARY KEY, UNIQUE, NOT NULL, CHECK, FOREIGN KEY</t>
        </is>
      </c>
      <c r="E16" s="7" t="str">
        <f>HYPERLINK("https://www.codechef.com/learn/course/sql/SQ00LS02/problems/GSQ10","Practice Problem - Alter table (GSQ10)"&amp;CHAR(10)&amp;"CodeChef · Easy")</f>
        <v>Practice Problem - Alter table (GSQ10)
CodeChef · Easy</v>
      </c>
      <c r="F16" s="7" t="str">
        <f>HYPERLINK("https://www.codechef.com/learn/course/sql/SQ00LS02/problems/GSQ13","Constraints (GSQ13)"&amp;CHAR(10)&amp;"CodeChef · Easy")</f>
        <v>Constraints (GSQ13)
CodeChef · Easy</v>
      </c>
      <c r="G16" s="7" t="str">
        <f>HYPERLINK("https://www.codechef.com/learn/course/sql/SQ00LS03/problems/GSQ57","Practice - Create Table with Constraints (GSQ57)"&amp;CHAR(10)&amp;"CodeChef · Medium")</f>
        <v>Practice - Create Table with Constraints (GSQ57)
CodeChef · Medium</v>
      </c>
      <c r="H16" s="7" t="str">
        <f>HYPERLINK("https://www.codechef.com/learn/course/sql-intermediate/SQ00BS02/problems/SQLKEY01","Foreign Key and Unique Key (SQLKEY01)"&amp;CHAR(10)&amp;"CodeChef · Medium")</f>
        <v>Foreign Key and Unique Key (SQLKEY01)
CodeChef · Medium</v>
      </c>
      <c r="I16" s="7" t="str">
        <f>HYPERLINK("https://www.codechef.com/learn/course/sql/BEGSQLPR/problems/RSMSPR01","Task-1 Design the Database Schema- Tables &amp; Fields (RSMSPR01)"&amp;CHAR(10)&amp;"CodeChef · Challenging")</f>
        <v>Task-1 Design the Database Schema- Tables &amp; Fields (RSMSPR01)
CodeChef · Challenging</v>
      </c>
    </row>
    <row r="17" ht="42" customHeight="1">
      <c r="A17" s="2" t="n">
        <v>16</v>
      </c>
      <c r="B17" s="3" t="inlineStr">
        <is>
          <t>Joins</t>
        </is>
      </c>
      <c r="C17" s="4" t="inlineStr">
        <is>
          <t>INNER JOIN</t>
        </is>
      </c>
      <c r="D17" s="5" t="inlineStr">
        <is>
          <t>Equi-joins, multi-table joins, non-equi joins</t>
        </is>
      </c>
      <c r="E17" s="9" t="str">
        <f>HYPERLINK("https://leetcode.com/problems/product-sales-analysis-i/","1068. Product Sales Analysis I"&amp;CHAR(10)&amp;"LeetCode · Easy")</f>
        <v>1068. Product Sales Analysis I
LeetCode · Easy</v>
      </c>
      <c r="F17" s="6" t="str">
        <f>HYPERLINK("https://www.hackerrank.com/challenges/african-cities/problem","African Cities"&amp;CHAR(10)&amp;"HackerRank · Easy")</f>
        <v>African Cities
HackerRank · Easy</v>
      </c>
      <c r="G17" s="7" t="str">
        <f>HYPERLINK("https://www.codechef.com/learn/course/sql-intermediate/SQ00BS01/problems/GSQ62","Inner Joins (GSQ62)"&amp;CHAR(10)&amp;"CodeChef · Easy")</f>
        <v>Inner Joins (GSQ62)
CodeChef · Easy</v>
      </c>
      <c r="H17" s="6" t="str">
        <f>HYPERLINK("https://www.hackerrank.com/challenges/the-report/problem","The Report"&amp;CHAR(10)&amp;"HackerRank · Medium")</f>
        <v>The Report
HackerRank · Medium</v>
      </c>
      <c r="I17" s="6" t="str">
        <f>HYPERLINK("https://www.hackerrank.com/challenges/full-score/problem","Top Competitors"&amp;CHAR(10)&amp;"HackerRank · Challenging")</f>
        <v>Top Competitors
HackerRank · Challenging</v>
      </c>
    </row>
    <row r="18" ht="42" customHeight="1">
      <c r="A18" s="2" t="n">
        <v>17</v>
      </c>
      <c r="B18" s="8" t="n"/>
      <c r="C18" s="4" t="inlineStr">
        <is>
          <t>LEFT / RIGHT / FULL OUTER JOIN</t>
        </is>
      </c>
      <c r="D18" s="5" t="inlineStr">
        <is>
          <t>Keeping unmatched rows, IS NULL anti-join, IFNULL / COALESCE</t>
        </is>
      </c>
      <c r="E18" s="9" t="str">
        <f>HYPERLINK("https://leetcode.com/problems/combine-two-tables/","175. Combine Two Tables"&amp;CHAR(10)&amp;"LeetCode · Easy")</f>
        <v>175. Combine Two Tables
LeetCode · Easy</v>
      </c>
      <c r="F18" s="9" t="str">
        <f>HYPERLINK("https://leetcode.com/problems/replace-employee-id-with-the-unique-identifier/","1378. Replace Employee ID With The Unique Identifier"&amp;CHAR(10)&amp;"LeetCode · Easy")</f>
        <v>1378. Replace Employee ID With The Unique Identifier
LeetCode · Easy</v>
      </c>
      <c r="G18" s="7" t="str">
        <f>HYPERLINK("https://www.codechef.com/learn/course/sql-intermediate/SQ00BS01/problems/ASQL01B","Full Outer Joins (ASQL01B)"&amp;CHAR(10)&amp;"CodeChef · Medium")</f>
        <v>Full Outer Joins (ASQL01B)
CodeChef · Medium</v>
      </c>
      <c r="H18" s="9" t="str">
        <f>HYPERLINK("https://leetcode.com/problems/customer-who-visited-but-did-not-make-any-transactions/","1581. Customer Who Visited but Did Not Make Any Transactions"&amp;CHAR(10)&amp;"LeetCode · Medium")</f>
        <v>1581. Customer Who Visited but Did Not Make Any Transactions
LeetCode · Medium</v>
      </c>
      <c r="I18" s="9" t="str">
        <f>HYPERLINK("https://leetcode.com/problems/average-selling-price/","1251. Average Selling Price"&amp;CHAR(10)&amp;"LeetCode · Challenging")</f>
        <v>1251. Average Selling Price
LeetCode · Challenging</v>
      </c>
    </row>
    <row r="19" ht="42" customHeight="1">
      <c r="A19" s="2" t="n">
        <v>18</v>
      </c>
      <c r="B19" s="10" t="n"/>
      <c r="C19" s="4" t="inlineStr">
        <is>
          <t>SELF JOIN &amp; CROSS JOIN</t>
        </is>
      </c>
      <c r="D19" s="5" t="inlineStr">
        <is>
          <t>Table aliases, comparing rows of the same table, Cartesian product</t>
        </is>
      </c>
      <c r="E19" s="9" t="str">
        <f>HYPERLINK("https://leetcode.com/problems/employees-earning-more-than-their-managers/","181. Employees Earning More Than Their Managers"&amp;CHAR(10)&amp;"LeetCode · Easy")</f>
        <v>181. Employees Earning More Than Their Managers
LeetCode · Easy</v>
      </c>
      <c r="F19" s="7" t="str">
        <f>HYPERLINK("https://www.codechef.com/learn/course/sql-intermediate/SQ00BS01/problems/ASQL01C","Self Joins (ASQL01C)"&amp;CHAR(10)&amp;"CodeChef · Easy")</f>
        <v>Self Joins (ASQL01C)
CodeChef · Easy</v>
      </c>
      <c r="G19" s="9" t="str">
        <f>HYPERLINK("https://leetcode.com/problems/students-and-examinations/","1280. Students and Examinations"&amp;CHAR(10)&amp;"LeetCode · Medium")</f>
        <v>1280. Students and Examinations
LeetCode · Medium</v>
      </c>
      <c r="H19" s="9" t="str">
        <f>HYPERLINK("https://leetcode.com/problems/rising-temperature/","197. Rising Temperature"&amp;CHAR(10)&amp;"LeetCode · Medium")</f>
        <v>197. Rising Temperature
LeetCode · Medium</v>
      </c>
      <c r="I19" s="6" t="str">
        <f>HYPERLINK("https://www.hackerrank.com/challenges/symmetric-pairs/problem","Symmetric Pairs"&amp;CHAR(10)&amp;"HackerRank · Challenging")</f>
        <v>Symmetric Pairs
HackerRank · Challenging</v>
      </c>
    </row>
    <row r="20" ht="42" customHeight="1">
      <c r="A20" s="2" t="n">
        <v>19</v>
      </c>
      <c r="B20" s="3" t="inlineStr">
        <is>
          <t>Subqueries &amp; Set Operations</t>
        </is>
      </c>
      <c r="C20" s="4" t="inlineStr">
        <is>
          <t>Subqueries</t>
        </is>
      </c>
      <c r="D20" s="5" t="inlineStr">
        <is>
          <t>Scalar subqueries, IN / NOT IN, subqueries in HAVING</t>
        </is>
      </c>
      <c r="E20" s="9" t="str">
        <f>HYPERLINK("https://leetcode.com/problems/employees-whose-manager-left-the-company/","1978. Employees Whose Manager Left the Company"&amp;CHAR(10)&amp;"LeetCode · Easy")</f>
        <v>1978. Employees Whose Manager Left the Company
LeetCode · Easy</v>
      </c>
      <c r="F20" s="7" t="str">
        <f>HYPERLINK("https://www.codechef.com/learn/course/sql-intermediate/SQ00BS04/problems/GSQ71","Problem - Non-Correlated Subqueries (GSQ71)"&amp;CHAR(10)&amp;"CodeChef · Easy")</f>
        <v>Problem - Non-Correlated Subqueries (GSQ71)
CodeChef · Easy</v>
      </c>
      <c r="G20" s="6" t="str">
        <f>HYPERLINK("https://www.hackerrank.com/challenges/binary-search-tree-1/problem","Binary Tree Nodes"&amp;CHAR(10)&amp;"HackerRank · Medium")</f>
        <v>Binary Tree Nodes
HackerRank · Medium</v>
      </c>
      <c r="H20" s="9" t="str">
        <f>HYPERLINK("https://leetcode.com/problems/second-highest-salary/","176. Second Highest Salary"&amp;CHAR(10)&amp;"LeetCode · Medium")</f>
        <v>176. Second Highest Salary
LeetCode · Medium</v>
      </c>
      <c r="I20" s="9" t="str">
        <f>HYPERLINK("https://leetcode.com/problems/customers-who-bought-all-products/","1045. Customers Who Bought All Products"&amp;CHAR(10)&amp;"LeetCode · Challenging")</f>
        <v>1045. Customers Who Bought All Products
LeetCode · Challenging</v>
      </c>
    </row>
    <row r="21" ht="42" customHeight="1">
      <c r="A21" s="2" t="n">
        <v>20</v>
      </c>
      <c r="B21" s="8" t="n"/>
      <c r="C21" s="4" t="inlineStr">
        <is>
          <t>Correlated Subqueries &amp; EXISTS</t>
        </is>
      </c>
      <c r="D21" s="5" t="inlineStr">
        <is>
          <t>Per-row subqueries, EXISTS / NOT EXISTS</t>
        </is>
      </c>
      <c r="E21" s="9" t="str">
        <f>HYPERLINK("https://leetcode.com/problems/customers-who-never-order/","183. Customers Who Never Order"&amp;CHAR(10)&amp;"LeetCode · Easy")</f>
        <v>183. Customers Who Never Order
LeetCode · Easy</v>
      </c>
      <c r="F21" s="9" t="str">
        <f>HYPERLINK("https://leetcode.com/problems/department-highest-salary/","184. Department Highest Salary"&amp;CHAR(10)&amp;"LeetCode · Medium")</f>
        <v>184. Department Highest Salary
LeetCode · Medium</v>
      </c>
      <c r="G21" s="9" t="str">
        <f>HYPERLINK("https://leetcode.com/problems/product-price-at-a-given-date/","1164. Product Price at a Given Date"&amp;CHAR(10)&amp;"LeetCode · Medium")</f>
        <v>1164. Product Price at a Given Date
LeetCode · Medium</v>
      </c>
      <c r="H21" s="6" t="str">
        <f>HYPERLINK("https://www.hackerrank.com/challenges/harry-potter-and-wands/problem","Ollivander's Inventory"&amp;CHAR(10)&amp;"HackerRank · Challenging")</f>
        <v>Ollivander's Inventory
HackerRank · Challenging</v>
      </c>
      <c r="I21" s="9" t="str">
        <f>HYPERLINK("https://leetcode.com/problems/department-top-three-salaries/","185. Department Top Three Salaries"&amp;CHAR(10)&amp;"LeetCode · Challenging")</f>
        <v>185. Department Top Three Salaries
LeetCode · Challenging</v>
      </c>
    </row>
    <row r="22" ht="42" customHeight="1">
      <c r="A22" s="2" t="n">
        <v>21</v>
      </c>
      <c r="B22" s="10" t="n"/>
      <c r="C22" s="4" t="inlineStr">
        <is>
          <t>Set Operations</t>
        </is>
      </c>
      <c r="D22" s="5" t="inlineStr">
        <is>
          <t>UNION / UNION ALL, INTERSECT, EXCEPT</t>
        </is>
      </c>
      <c r="E22" s="7" t="str">
        <f>HYPERLINK("https://www.codechef.com/learn/course/sql-intermediate/SQ00BS02/problems/GSQ66","Union (GSQ66)"&amp;CHAR(10)&amp;"CodeChef · Easy")</f>
        <v>Union (GSQ66)
CodeChef · Easy</v>
      </c>
      <c r="F22" s="7" t="str">
        <f>HYPERLINK("https://www.codechef.com/learn/course/sql-intermediate/SQ00BS06/problems/GSQ77","Except (GSQ77)"&amp;CHAR(10)&amp;"CodeChef · Easy")</f>
        <v>Except (GSQ77)
CodeChef · Easy</v>
      </c>
      <c r="G22" s="9" t="str">
        <f>HYPERLINK("https://leetcode.com/problems/rearrange-products-table/","1795. Rearrange Products Table"&amp;CHAR(10)&amp;"LeetCode · Medium")</f>
        <v>1795. Rearrange Products Table
LeetCode · Medium</v>
      </c>
      <c r="H22" s="9" t="str">
        <f>HYPERLINK("https://leetcode.com/problems/count-salary-categories/","1907. Count Salary Categories"&amp;CHAR(10)&amp;"LeetCode · Medium")</f>
        <v>1907. Count Salary Categories
LeetCode · Medium</v>
      </c>
      <c r="I22" s="9" t="str">
        <f>HYPERLINK("https://leetcode.com/problems/movie-rating/","1341. Movie Rating"&amp;CHAR(10)&amp;"LeetCode · Challenging")</f>
        <v>1341. Movie Rating
LeetCode · Challenging</v>
      </c>
    </row>
    <row r="23" ht="42" customHeight="1">
      <c r="A23" s="2" t="n">
        <v>22</v>
      </c>
      <c r="B23" s="3" t="inlineStr">
        <is>
          <t>Advanced SQL</t>
        </is>
      </c>
      <c r="C23" s="4" t="inlineStr">
        <is>
          <t>Common Table Expressions (WITH)</t>
        </is>
      </c>
      <c r="D23" s="5" t="inlineStr">
        <is>
          <t>Named subqueries, multi-step queries, derived tables</t>
        </is>
      </c>
      <c r="E23" s="7" t="str">
        <f>HYPERLINK("https://www.codechef.com/learn/course/sql-intermediate/SQ00BS03/problems/GSQ68F","Project - Temporary table with Join (GSQ68F)"&amp;CHAR(10)&amp;"CodeChef · Medium")</f>
        <v>Project - Temporary table with Join (GSQ68F)
CodeChef · Medium</v>
      </c>
      <c r="F23" s="9" t="str">
        <f>HYPERLINK("https://leetcode.com/problems/product-sales-analysis-iii/","1070. Product Sales Analysis III"&amp;CHAR(10)&amp;"LeetCode · Medium")</f>
        <v>1070. Product Sales Analysis III
LeetCode · Medium</v>
      </c>
      <c r="G23" s="6" t="str">
        <f>HYPERLINK("https://www.hackerrank.com/challenges/contest-leaderboard/problem","Contest Leaderboard"&amp;CHAR(10)&amp;"HackerRank · Medium")</f>
        <v>Contest Leaderboard
HackerRank · Medium</v>
      </c>
      <c r="H23" s="9" t="str">
        <f>HYPERLINK("https://leetcode.com/problems/investments-in-2016/","585. Investments in 2016"&amp;CHAR(10)&amp;"LeetCode · Challenging")</f>
        <v>585. Investments in 2016
LeetCode · Challenging</v>
      </c>
      <c r="I23" s="6" t="str">
        <f>HYPERLINK("https://www.hackerrank.com/challenges/interviews/problem","Interviews"&amp;CHAR(10)&amp;"HackerRank · Challenging")</f>
        <v>Interviews
HackerRank · Challenging</v>
      </c>
    </row>
    <row r="24" ht="42" customHeight="1">
      <c r="A24" s="2" t="n">
        <v>23</v>
      </c>
      <c r="B24" s="8" t="n"/>
      <c r="C24" s="4" t="inlineStr">
        <is>
          <t>Window Functions – Ranking</t>
        </is>
      </c>
      <c r="D24" s="5" t="inlineStr">
        <is>
          <t>ROW_NUMBER, RANK, DENSE_RANK, PARTITION BY</t>
        </is>
      </c>
      <c r="E24" s="9" t="str">
        <f>HYPERLINK("https://leetcode.com/problems/rank-scores/","178. Rank Scores"&amp;CHAR(10)&amp;"LeetCode · Easy")</f>
        <v>178. Rank Scores
LeetCode · Easy</v>
      </c>
      <c r="F24" s="7" t="str">
        <f>HYPERLINK("https://www.codechef.com/learn/course/sql-intermediate/JJTST2/problems/ASQLPR112","Task-11 Rank Doctors Based on Patient Feedback (ASQLPR112)"&amp;CHAR(10)&amp;"CodeChef · Medium")</f>
        <v>Task-11 Rank Doctors Based on Patient Feedback (ASQLPR112)
CodeChef · Medium</v>
      </c>
      <c r="G24" s="7" t="str">
        <f>HYPERLINK("https://www.codechef.com/learn/course/sql-intermediate/JJTST2/problems/ASQLPR113","Task-12 Analyze Treatment Trends Per Department (ASQLPR113)"&amp;CHAR(10)&amp;"CodeChef · Medium")</f>
        <v>Task-12 Analyze Treatment Trends Per Department (ASQLPR113)
CodeChef · Medium</v>
      </c>
      <c r="H24" s="6" t="str">
        <f>HYPERLINK("https://www.hackerrank.com/challenges/occupations/problem","Occupations"&amp;CHAR(10)&amp;"HackerRank · Challenging")</f>
        <v>Occupations
HackerRank · Challenging</v>
      </c>
      <c r="I24" s="9" t="str">
        <f>HYPERLINK("https://leetcode.com/problems/seasonal-sales-analysis/","3564. Seasonal Sales Analysis"&amp;CHAR(10)&amp;"LeetCode · Challenging")</f>
        <v>3564. Seasonal Sales Analysis
LeetCode · Challenging</v>
      </c>
    </row>
    <row r="25" ht="42" customHeight="1">
      <c r="A25" s="2" t="n">
        <v>24</v>
      </c>
      <c r="B25" s="8" t="n"/>
      <c r="C25" s="4" t="inlineStr">
        <is>
          <t>Window Functions – LAG / LEAD &amp; Running Totals</t>
        </is>
      </c>
      <c r="D25" s="5" t="inlineStr">
        <is>
          <t>LAG / LEAD, SUM() OVER, window frames (ROWS BETWEEN), gaps and islands</t>
        </is>
      </c>
      <c r="E25" s="9" t="str">
        <f>HYPERLINK("https://leetcode.com/problems/consecutive-numbers/","180. Consecutive Numbers"&amp;CHAR(10)&amp;"LeetCode · Medium")</f>
        <v>180. Consecutive Numbers
LeetCode · Medium</v>
      </c>
      <c r="F25" s="9" t="str">
        <f>HYPERLINK("https://leetcode.com/problems/last-person-to-fit-in-the-bus/","1204. Last Person to Fit in the Bus"&amp;CHAR(10)&amp;"LeetCode · Medium")</f>
        <v>1204. Last Person to Fit in the Bus
LeetCode · Medium</v>
      </c>
      <c r="G25" s="9" t="str">
        <f>HYPERLINK("https://leetcode.com/problems/restaurant-growth/","1321. Restaurant Growth"&amp;CHAR(10)&amp;"LeetCode · Medium")</f>
        <v>1321. Restaurant Growth
LeetCode · Medium</v>
      </c>
      <c r="H25" s="6" t="str">
        <f>HYPERLINK("https://www.hackerrank.com/challenges/sql-projects/problem","SQL Project Planning"&amp;CHAR(10)&amp;"HackerRank · Challenging")</f>
        <v>SQL Project Planning
HackerRank · Challenging</v>
      </c>
      <c r="I25" s="9" t="str">
        <f>HYPERLINK("https://leetcode.com/problems/human-traffic-of-stadium/","601. Human Traffic of Stadium"&amp;CHAR(10)&amp;"LeetCode · Challenging")</f>
        <v>601. Human Traffic of Stadium
LeetCode · Challenging</v>
      </c>
    </row>
    <row r="26" ht="42" customHeight="1">
      <c r="A26" s="2" t="n">
        <v>25</v>
      </c>
      <c r="B26" s="8" t="n"/>
      <c r="C26" s="4" t="inlineStr">
        <is>
          <t>Recursive CTEs</t>
        </is>
      </c>
      <c r="D26" s="5" t="inlineStr">
        <is>
          <t>WITH RECURSIVE, generating rows / numbers, walking hierarchies</t>
        </is>
      </c>
      <c r="E26" s="6" t="str">
        <f>HYPERLINK("https://www.hackerrank.com/challenges/draw-the-triangle-1/problem","Draw The Triangle 1"&amp;CHAR(10)&amp;"HackerRank · Easy")</f>
        <v>Draw The Triangle 1
HackerRank · Easy</v>
      </c>
      <c r="F26" s="6" t="str">
        <f>HYPERLINK("https://www.hackerrank.com/challenges/draw-the-triangle-2/problem","Draw The Triangle 2"&amp;CHAR(10)&amp;"HackerRank · Easy")</f>
        <v>Draw The Triangle 2
HackerRank · Easy</v>
      </c>
      <c r="G26" s="6" t="str">
        <f>HYPERLINK("https://www.hackerrank.com/challenges/print-prime-numbers/problem","Print Prime Numbers"&amp;CHAR(10)&amp;"HackerRank · Medium")</f>
        <v>Print Prime Numbers
HackerRank · Medium</v>
      </c>
      <c r="H26" s="9" t="str">
        <f>HYPERLINK("https://leetcode.com/problems/analyze-organization-hierarchy/","3482. Analyze Organization Hierarchy"&amp;CHAR(10)&amp;"LeetCode · Challenging")</f>
        <v>3482. Analyze Organization Hierarchy
LeetCode · Challenging</v>
      </c>
      <c r="I26" s="11" t="inlineStr">
        <is>
          <t>Not available – see Validation Report</t>
        </is>
      </c>
    </row>
    <row r="27" ht="42" customHeight="1">
      <c r="A27" s="2" t="n">
        <v>26</v>
      </c>
      <c r="B27" s="10" t="n"/>
      <c r="C27" s="4" t="inlineStr">
        <is>
          <t>Stored Functions &amp; Procedures</t>
        </is>
      </c>
      <c r="D27" s="5" t="inlineStr">
        <is>
          <t>CREATE FUNCTION, parameters, RETURN</t>
        </is>
      </c>
      <c r="E27" s="9" t="str">
        <f>HYPERLINK("https://leetcode.com/problems/nth-highest-salary/","177. Nth Highest Salary"&amp;CHAR(10)&amp;"LeetCode · Medium")</f>
        <v>177. Nth Highest Salary
LeetCode · Medium</v>
      </c>
      <c r="F27" s="11" t="inlineStr">
        <is>
          <t>Not available – see Validation Report</t>
        </is>
      </c>
      <c r="G27" s="11" t="inlineStr">
        <is>
          <t>Not available – see Validation Report</t>
        </is>
      </c>
      <c r="H27" s="11" t="inlineStr">
        <is>
          <t>Not available – see Validation Report</t>
        </is>
      </c>
      <c r="I27" s="11" t="inlineStr">
        <is>
          <t>Not available – see Validation Report</t>
        </is>
      </c>
    </row>
    <row r="29">
      <c r="B29" s="12" t="inlineStr">
        <is>
          <t>Legend</t>
        </is>
      </c>
    </row>
    <row r="30">
      <c r="B30" s="9" t="inlineStr">
        <is>
          <t>LeetCode problem</t>
        </is>
      </c>
      <c r="C30" s="13" t="n"/>
      <c r="D30" s="14" t="inlineStr">
        <is>
          <t>Each cell links to the problem. The second line shows the platform and the level within the topic (Q1 easiest → Q5 hardest). Every problem needs only the current topic and earlier ones. Full details are in 'Question Bank Details'.</t>
        </is>
      </c>
    </row>
    <row r="31">
      <c r="B31" s="6" t="inlineStr">
        <is>
          <t>HackerRank challenge</t>
        </is>
      </c>
      <c r="C31" s="13" t="n"/>
    </row>
    <row r="32">
      <c r="B32" s="7" t="inlineStr">
        <is>
          <t>CodeChef problem</t>
        </is>
      </c>
      <c r="C32" s="13" t="n"/>
    </row>
    <row r="33">
      <c r="B33" s="15" t="inlineStr">
        <is>
          <t>Not available – see Validation Report</t>
        </is>
      </c>
      <c r="C33" s="13" t="n"/>
    </row>
  </sheetData>
  <mergeCells count="12">
    <mergeCell ref="D30:F33"/>
    <mergeCell ref="B17:B19"/>
    <mergeCell ref="B30:C30"/>
    <mergeCell ref="B33:C33"/>
    <mergeCell ref="B20:B22"/>
    <mergeCell ref="B12:B14"/>
    <mergeCell ref="B32:C32"/>
    <mergeCell ref="B31:C31"/>
    <mergeCell ref="B7:B11"/>
    <mergeCell ref="B23:B27"/>
    <mergeCell ref="B2:B6"/>
    <mergeCell ref="B15:B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1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5" customWidth="1" min="4" max="4"/>
    <col width="34" customWidth="1" min="5" max="5"/>
    <col width="12" customWidth="1" min="6" max="6"/>
    <col width="24" customWidth="1" min="7" max="7"/>
    <col width="52" customWidth="1" min="8" max="8"/>
    <col width="30" customWidth="1" min="9" max="9"/>
    <col width="34" customWidth="1" min="10" max="10"/>
    <col width="30" customWidth="1" min="11" max="11"/>
    <col width="48" customWidth="1" min="12" max="12"/>
    <col width="16" customWidth="1" min="13" max="13"/>
    <col width="9" customWidth="1" min="14" max="14"/>
    <col width="8" customWidth="1" min="15" max="15"/>
    <col width="52" customWidth="1" min="16" max="16"/>
  </cols>
  <sheetData>
    <row r="1" ht="30" customHeight="1">
      <c r="A1" s="16" t="inlineStr">
        <is>
          <t>#</t>
        </is>
      </c>
      <c r="B1" s="16" t="inlineStr">
        <is>
          <t>Section</t>
        </is>
      </c>
      <c r="C1" s="16" t="inlineStr">
        <is>
          <t>Topic</t>
        </is>
      </c>
      <c r="D1" s="16" t="inlineStr">
        <is>
          <t>Q#</t>
        </is>
      </c>
      <c r="E1" s="16" t="inlineStr">
        <is>
          <t>Question Title</t>
        </is>
      </c>
      <c r="F1" s="16" t="inlineStr">
        <is>
          <t>Platform</t>
        </is>
      </c>
      <c r="G1" s="16" t="inlineStr">
        <is>
          <t>Difficulty</t>
        </is>
      </c>
      <c r="H1" s="16" t="inlineStr">
        <is>
          <t>Problem URL</t>
        </is>
      </c>
      <c r="I1" s="16" t="inlineStr">
        <is>
          <t>Free Access</t>
        </is>
      </c>
      <c r="J1" s="16" t="inlineStr">
        <is>
          <t>Primary Concept</t>
        </is>
      </c>
      <c r="K1" s="16" t="inlineStr">
        <is>
          <t>Prerequisite Concepts</t>
        </is>
      </c>
      <c r="L1" s="16" t="inlineStr">
        <is>
          <t>Topic Boundary Verified</t>
        </is>
      </c>
      <c r="M1" s="16" t="inlineStr">
        <is>
          <t>Status</t>
        </is>
      </c>
      <c r="N1" s="16" t="inlineStr">
        <is>
          <t>Counts as Valid</t>
        </is>
      </c>
      <c r="O1" s="16" t="inlineStr">
        <is>
          <t>Matrix Cell</t>
        </is>
      </c>
      <c r="P1" s="16" t="inlineStr">
        <is>
          <t>Notes (SQL engine / context)</t>
        </is>
      </c>
    </row>
    <row r="2" ht="28.8" customHeight="1">
      <c r="A2" s="17" t="n">
        <v>1</v>
      </c>
      <c r="B2" s="18" t="inlineStr">
        <is>
          <t>SQL Basics</t>
        </is>
      </c>
      <c r="C2" s="18" t="inlineStr">
        <is>
          <t>SELECT &amp; Column Aliases</t>
        </is>
      </c>
      <c r="D2" s="17" t="inlineStr">
        <is>
          <t>Q1</t>
        </is>
      </c>
      <c r="E2" s="18" t="inlineStr">
        <is>
          <t>Select All</t>
        </is>
      </c>
      <c r="F2" s="17" t="inlineStr">
        <is>
          <t>HackerRank</t>
        </is>
      </c>
      <c r="G2" s="18" t="inlineStr">
        <is>
          <t>Easy (HackerRank: Easy)</t>
        </is>
      </c>
      <c r="H2" s="19" t="str">
        <f>HYPERLINK("https://www.hackerrank.com/challenges/select-all-sql/problem","https://www.hackerrank.com/challenges/select-all-sql/problem")</f>
        <v>https://www.hackerrank.com/challenges/select-all-sql/problem</v>
      </c>
      <c r="I2" s="18" t="inlineStr">
        <is>
          <t>Yes – free; free HackerRank account to submit</t>
        </is>
      </c>
      <c r="J2" s="18" t="inlineStr">
        <is>
          <t>SELECT * (all columns)</t>
        </is>
      </c>
      <c r="K2" s="18" t="inlineStr">
        <is>
          <t>None (first topic)</t>
        </is>
      </c>
      <c r="L2" s="18" t="inlineStr">
        <is>
          <t>Yes – SELECT * FROM CITY</t>
        </is>
      </c>
      <c r="M2" s="18" t="inlineStr">
        <is>
          <t>Added (verified)</t>
        </is>
      </c>
      <c r="N2" s="17" t="str">
        <f>IF(M2="Added (verified)","Yes","No")</f>
        <v>Yes</v>
      </c>
      <c r="O2" s="17" t="inlineStr">
        <is>
          <t>E2</t>
        </is>
      </c>
      <c r="P2" s="18" t="inlineStr">
        <is>
          <t>Engines: MySQL, MS SQL Server, Oracle, DB2.</t>
        </is>
      </c>
    </row>
    <row r="3" ht="28.8" customHeight="1">
      <c r="A3" s="17" t="n">
        <v>1</v>
      </c>
      <c r="B3" s="18" t="inlineStr">
        <is>
          <t>SQL Basics</t>
        </is>
      </c>
      <c r="C3" s="18" t="inlineStr">
        <is>
          <t>SELECT &amp; Column Aliases</t>
        </is>
      </c>
      <c r="D3" s="17" t="inlineStr">
        <is>
          <t>Q2</t>
        </is>
      </c>
      <c r="E3" s="18" t="inlineStr">
        <is>
          <t>Weather Observation Station 1</t>
        </is>
      </c>
      <c r="F3" s="17" t="inlineStr">
        <is>
          <t>HackerRank</t>
        </is>
      </c>
      <c r="G3" s="18" t="inlineStr">
        <is>
          <t>Easy (HackerRank: Easy)</t>
        </is>
      </c>
      <c r="H3" s="19" t="str">
        <f>HYPERLINK("https://www.hackerrank.com/challenges/weather-observation-station-1/problem","https://www.hackerrank.com/challenges/weather-observation-station-1/problem")</f>
        <v>https://www.hackerrank.com/challenges/weather-observation-station-1/problem</v>
      </c>
      <c r="I3" s="18" t="inlineStr">
        <is>
          <t>Yes – free; free HackerRank account to submit</t>
        </is>
      </c>
      <c r="J3" s="18" t="inlineStr">
        <is>
          <t>Selecting specific columns</t>
        </is>
      </c>
      <c r="K3" s="18" t="inlineStr">
        <is>
          <t>None (first topic)</t>
        </is>
      </c>
      <c r="L3" s="18" t="inlineStr">
        <is>
          <t>Yes – SELECT CITY, STATE FROM STATION</t>
        </is>
      </c>
      <c r="M3" s="18" t="inlineStr">
        <is>
          <t>Added (verified)</t>
        </is>
      </c>
      <c r="N3" s="17" t="str">
        <f>IF(M3="Added (verified)","Yes","No")</f>
        <v>Yes</v>
      </c>
      <c r="O3" s="17" t="inlineStr">
        <is>
          <t>F2</t>
        </is>
      </c>
      <c r="P3" s="18" t="inlineStr">
        <is>
          <t>Engines: MySQL, MS SQL Server, Oracle, DB2.</t>
        </is>
      </c>
    </row>
    <row r="4" ht="41.7" customHeight="1">
      <c r="A4" s="17" t="n">
        <v>1</v>
      </c>
      <c r="B4" s="18" t="inlineStr">
        <is>
          <t>SQL Basics</t>
        </is>
      </c>
      <c r="C4" s="18" t="inlineStr">
        <is>
          <t>SELECT &amp; Column Aliases</t>
        </is>
      </c>
      <c r="D4" s="17" t="inlineStr">
        <is>
          <t>Q3</t>
        </is>
      </c>
      <c r="E4" s="18" t="inlineStr">
        <is>
          <t>All Products (SQLPBP11)</t>
        </is>
      </c>
      <c r="F4" s="17" t="inlineStr">
        <is>
          <t>CodeChef</t>
        </is>
      </c>
      <c r="G4" s="18" t="inlineStr">
        <is>
          <t>Easy (CodeChef: easy)</t>
        </is>
      </c>
      <c r="H4" s="19" t="str">
        <f>HYPERLINK("https://www.codechef.com/practice/course/sql-case-studies-topic-wise/SQLBP01/problems/SQLPBP11","https://www.codechef.com/practice/course/sql-case-studies-topic-wise/SQLBP01/problems/SQLPBP11")</f>
        <v>https://www.codechef.com/practice/course/sql-case-studies-topic-wise/SQLBP01/problems/SQLPBP11</v>
      </c>
      <c r="I4" s="18" t="inlineStr">
        <is>
          <t>Yes – free (non-Pro) module of CodeChef 'SQL Practice Queries'; free account to submit</t>
        </is>
      </c>
      <c r="J4" s="18" t="inlineStr">
        <is>
          <t>SELECT * from a named table</t>
        </is>
      </c>
      <c r="K4" s="18" t="inlineStr">
        <is>
          <t>None (first topic)</t>
        </is>
      </c>
      <c r="L4" s="18" t="inlineStr">
        <is>
          <t>Yes – outputs the whole Products table</t>
        </is>
      </c>
      <c r="M4" s="18" t="inlineStr">
        <is>
          <t>Added (verified)</t>
        </is>
      </c>
      <c r="N4" s="17" t="str">
        <f>IF(M4="Added (verified)","Yes","No")</f>
        <v>Yes</v>
      </c>
      <c r="O4" s="17" t="inlineStr">
        <is>
          <t>G2</t>
        </is>
      </c>
      <c r="P4" s="18" t="inlineStr">
        <is>
          <t>Module 'Practice Basic Commands'. MySQL syntax.</t>
        </is>
      </c>
    </row>
    <row r="5" ht="41.7" customHeight="1">
      <c r="A5" s="17" t="n">
        <v>1</v>
      </c>
      <c r="B5" s="18" t="inlineStr">
        <is>
          <t>SQL Basics</t>
        </is>
      </c>
      <c r="C5" s="18" t="inlineStr">
        <is>
          <t>SELECT &amp; Column Aliases</t>
        </is>
      </c>
      <c r="D5" s="17" t="inlineStr">
        <is>
          <t>Q4</t>
        </is>
      </c>
      <c r="E5" s="18" t="inlineStr">
        <is>
          <t>SELECT Query (GSQ17)</t>
        </is>
      </c>
      <c r="F5" s="17" t="inlineStr">
        <is>
          <t>CodeChef</t>
        </is>
      </c>
      <c r="G5" s="18" t="inlineStr">
        <is>
          <t>Easy (CodeChef: easy)</t>
        </is>
      </c>
      <c r="H5" s="19" t="str">
        <f>HYPERLINK("https://www.codechef.com/learn/course/sql/SQ00LS04/problems/GSQ17","https://www.codechef.com/learn/course/sql/SQ00LS04/problems/GSQ17")</f>
        <v>https://www.codechef.com/learn/course/sql/SQ00LS04/problems/GSQ17</v>
      </c>
      <c r="I5" s="18" t="inlineStr">
        <is>
          <t>Yes – free (non-Pro) lesson of CodeChef 'Learn SQL'; free account to submit</t>
        </is>
      </c>
      <c r="J5" s="18" t="inlineStr">
        <is>
          <t>Selecting specific columns</t>
        </is>
      </c>
      <c r="K5" s="18" t="inlineStr">
        <is>
          <t>None (first topic)</t>
        </is>
      </c>
      <c r="L5" s="18" t="inlineStr">
        <is>
          <t>Yes – SELECT passenger_name, gender FROM flights</t>
        </is>
      </c>
      <c r="M5" s="18" t="inlineStr">
        <is>
          <t>Added (verified)</t>
        </is>
      </c>
      <c r="N5" s="17" t="str">
        <f>IF(M5="Added (verified)","Yes","No")</f>
        <v>Yes</v>
      </c>
      <c r="O5" s="17" t="inlineStr">
        <is>
          <t>H2</t>
        </is>
      </c>
      <c r="P5" s="18" t="inlineStr">
        <is>
          <t>Runs on SQLite.</t>
        </is>
      </c>
    </row>
    <row r="6" ht="41.7" customHeight="1">
      <c r="A6" s="17" t="n">
        <v>1</v>
      </c>
      <c r="B6" s="18" t="inlineStr">
        <is>
          <t>SQL Basics</t>
        </is>
      </c>
      <c r="C6" s="18" t="inlineStr">
        <is>
          <t>SELECT &amp; Column Aliases</t>
        </is>
      </c>
      <c r="D6" s="17" t="inlineStr">
        <is>
          <t>Q5</t>
        </is>
      </c>
      <c r="E6" s="18" t="inlineStr">
        <is>
          <t>Rename columns using As (GSQ37A)</t>
        </is>
      </c>
      <c r="F6" s="17" t="inlineStr">
        <is>
          <t>CodeChef</t>
        </is>
      </c>
      <c r="G6" s="18" t="inlineStr">
        <is>
          <t>Easy (CodeChef: easy)</t>
        </is>
      </c>
      <c r="H6" s="19" t="str">
        <f>HYPERLINK("https://www.codechef.com/learn/course/sql/SQ00LS08/problems/GSQ37A","https://www.codechef.com/learn/course/sql/SQ00LS08/problems/GSQ37A")</f>
        <v>https://www.codechef.com/learn/course/sql/SQ00LS08/problems/GSQ37A</v>
      </c>
      <c r="I6" s="18" t="inlineStr">
        <is>
          <t>Yes – free (non-Pro) lesson of CodeChef 'Learn SQL'; free account to submit</t>
        </is>
      </c>
      <c r="J6" s="18" t="inlineStr">
        <is>
          <t>Column aliases with AS</t>
        </is>
      </c>
      <c r="K6" s="18" t="inlineStr">
        <is>
          <t>Selecting columns</t>
        </is>
      </c>
      <c r="L6" s="18" t="inlineStr">
        <is>
          <t>Yes – three columns renamed with AS; no filtering or functions</t>
        </is>
      </c>
      <c r="M6" s="18" t="inlineStr">
        <is>
          <t>Added (verified)</t>
        </is>
      </c>
      <c r="N6" s="17" t="str">
        <f>IF(M6="Added (verified)","Yes","No")</f>
        <v>Yes</v>
      </c>
      <c r="O6" s="17" t="inlineStr">
        <is>
          <t>I2</t>
        </is>
      </c>
      <c r="P6" s="18" t="inlineStr">
        <is>
          <t>Runs on SQLite.</t>
        </is>
      </c>
    </row>
    <row r="7" ht="41.7" customHeight="1">
      <c r="A7" s="17" t="n">
        <v>2</v>
      </c>
      <c r="B7" s="18" t="inlineStr">
        <is>
          <t>SQL Basics</t>
        </is>
      </c>
      <c r="C7" s="18" t="inlineStr">
        <is>
          <t>CREATE TABLE &amp; INSERT INTO</t>
        </is>
      </c>
      <c r="D7" s="17" t="inlineStr">
        <is>
          <t>Q1</t>
        </is>
      </c>
      <c r="E7" s="18" t="inlineStr">
        <is>
          <t>Create table (GSQ04)</t>
        </is>
      </c>
      <c r="F7" s="17" t="inlineStr">
        <is>
          <t>CodeChef</t>
        </is>
      </c>
      <c r="G7" s="18" t="inlineStr">
        <is>
          <t>Easy (CodeChef: easy)</t>
        </is>
      </c>
      <c r="H7" s="19" t="str">
        <f>HYPERLINK("https://www.codechef.com/learn/course/sql/SQ00LS01/problems/GSQ04","https://www.codechef.com/learn/course/sql/SQ00LS01/problems/GSQ04")</f>
        <v>https://www.codechef.com/learn/course/sql/SQ00LS01/problems/GSQ04</v>
      </c>
      <c r="I7" s="18" t="inlineStr">
        <is>
          <t>Yes – free (non-Pro) lesson of CodeChef 'Learn SQL'; free account to submit</t>
        </is>
      </c>
      <c r="J7" s="18" t="inlineStr">
        <is>
          <t>CREATE TABLE with column data types</t>
        </is>
      </c>
      <c r="K7" s="18" t="inlineStr">
        <is>
          <t>None</t>
        </is>
      </c>
      <c r="L7" s="18" t="inlineStr">
        <is>
          <t>Yes – one CREATE TABLE statement</t>
        </is>
      </c>
      <c r="M7" s="18" t="inlineStr">
        <is>
          <t>Added (verified)</t>
        </is>
      </c>
      <c r="N7" s="17" t="str">
        <f>IF(M7="Added (verified)","Yes","No")</f>
        <v>Yes</v>
      </c>
      <c r="O7" s="17" t="inlineStr">
        <is>
          <t>E3</t>
        </is>
      </c>
      <c r="P7" s="18" t="inlineStr">
        <is>
          <t>Runs on SQLite.</t>
        </is>
      </c>
    </row>
    <row r="8" ht="41.7" customHeight="1">
      <c r="A8" s="17" t="n">
        <v>2</v>
      </c>
      <c r="B8" s="18" t="inlineStr">
        <is>
          <t>SQL Basics</t>
        </is>
      </c>
      <c r="C8" s="18" t="inlineStr">
        <is>
          <t>CREATE TABLE &amp; INSERT INTO</t>
        </is>
      </c>
      <c r="D8" s="17" t="inlineStr">
        <is>
          <t>Q2</t>
        </is>
      </c>
      <c r="E8" s="18" t="inlineStr">
        <is>
          <t>How to insert to a table (GSQ07)</t>
        </is>
      </c>
      <c r="F8" s="17" t="inlineStr">
        <is>
          <t>CodeChef</t>
        </is>
      </c>
      <c r="G8" s="18" t="inlineStr">
        <is>
          <t>Easy (CodeChef: easy)</t>
        </is>
      </c>
      <c r="H8" s="19" t="str">
        <f>HYPERLINK("https://www.codechef.com/learn/course/sql/SQ00LS01/problems/GSQ07","https://www.codechef.com/learn/course/sql/SQ00LS01/problems/GSQ07")</f>
        <v>https://www.codechef.com/learn/course/sql/SQ00LS01/problems/GSQ07</v>
      </c>
      <c r="I8" s="18" t="inlineStr">
        <is>
          <t>Yes – free (non-Pro) lesson of CodeChef 'Learn SQL'; free account to submit</t>
        </is>
      </c>
      <c r="J8" s="18" t="inlineStr">
        <is>
          <t>INSERT INTO ... VALUES (one row)</t>
        </is>
      </c>
      <c r="K8" s="18" t="inlineStr">
        <is>
          <t>CREATE TABLE</t>
        </is>
      </c>
      <c r="L8" s="18" t="inlineStr">
        <is>
          <t>Yes – one INSERT statement</t>
        </is>
      </c>
      <c r="M8" s="18" t="inlineStr">
        <is>
          <t>Added (verified)</t>
        </is>
      </c>
      <c r="N8" s="17" t="str">
        <f>IF(M8="Added (verified)","Yes","No")</f>
        <v>Yes</v>
      </c>
      <c r="O8" s="17" t="inlineStr">
        <is>
          <t>F3</t>
        </is>
      </c>
      <c r="P8" s="18" t="inlineStr">
        <is>
          <t>The employee table from the previous lesson is pre-loaded. Runs on SQLite.</t>
        </is>
      </c>
    </row>
    <row r="9" ht="41.7" customHeight="1">
      <c r="A9" s="17" t="n">
        <v>2</v>
      </c>
      <c r="B9" s="18" t="inlineStr">
        <is>
          <t>SQL Basics</t>
        </is>
      </c>
      <c r="C9" s="18" t="inlineStr">
        <is>
          <t>CREATE TABLE &amp; INSERT INTO</t>
        </is>
      </c>
      <c r="D9" s="17" t="inlineStr">
        <is>
          <t>Q3</t>
        </is>
      </c>
      <c r="E9" s="18" t="inlineStr">
        <is>
          <t>Inserting Data into a Table (GSQ05)</t>
        </is>
      </c>
      <c r="F9" s="17" t="inlineStr">
        <is>
          <t>CodeChef</t>
        </is>
      </c>
      <c r="G9" s="18" t="inlineStr">
        <is>
          <t>Easy (CodeChef: easy)</t>
        </is>
      </c>
      <c r="H9" s="19" t="str">
        <f>HYPERLINK("https://www.codechef.com/learn/course/sql/SQ00LS01/problems/GSQ05","https://www.codechef.com/learn/course/sql/SQ00LS01/problems/GSQ05")</f>
        <v>https://www.codechef.com/learn/course/sql/SQ00LS01/problems/GSQ05</v>
      </c>
      <c r="I9" s="18" t="inlineStr">
        <is>
          <t>Yes – free (non-Pro) lesson of CodeChef 'Learn SQL'; free account to submit</t>
        </is>
      </c>
      <c r="J9" s="18" t="inlineStr">
        <is>
          <t>Multi-row INSERT</t>
        </is>
      </c>
      <c r="K9" s="18" t="inlineStr">
        <is>
          <t>CREATE TABLE, INSERT</t>
        </is>
      </c>
      <c r="L9" s="18" t="inlineStr">
        <is>
          <t>Yes – one INSERT with two value lists</t>
        </is>
      </c>
      <c r="M9" s="18" t="inlineStr">
        <is>
          <t>Added (verified)</t>
        </is>
      </c>
      <c r="N9" s="17" t="str">
        <f>IF(M9="Added (verified)","Yes","No")</f>
        <v>Yes</v>
      </c>
      <c r="O9" s="17" t="inlineStr">
        <is>
          <t>G3</t>
        </is>
      </c>
      <c r="P9" s="18" t="inlineStr">
        <is>
          <t>Runs on SQLite.</t>
        </is>
      </c>
    </row>
    <row r="10" ht="41.7" customHeight="1">
      <c r="A10" s="17" t="n">
        <v>2</v>
      </c>
      <c r="B10" s="18" t="inlineStr">
        <is>
          <t>SQL Basics</t>
        </is>
      </c>
      <c r="C10" s="18" t="inlineStr">
        <is>
          <t>CREATE TABLE &amp; INSERT INTO</t>
        </is>
      </c>
      <c r="D10" s="17" t="inlineStr">
        <is>
          <t>Q4</t>
        </is>
      </c>
      <c r="E10" s="18" t="inlineStr">
        <is>
          <t>Debug this query (GSQ06)</t>
        </is>
      </c>
      <c r="F10" s="17" t="inlineStr">
        <is>
          <t>CodeChef</t>
        </is>
      </c>
      <c r="G10" s="18" t="inlineStr">
        <is>
          <t>Medium (CodeChef: easy)</t>
        </is>
      </c>
      <c r="H10" s="19" t="str">
        <f>HYPERLINK("https://www.codechef.com/learn/course/sql/SQ00LS01/problems/GSQ06","https://www.codechef.com/learn/course/sql/SQ00LS01/problems/GSQ06")</f>
        <v>https://www.codechef.com/learn/course/sql/SQ00LS01/problems/GSQ06</v>
      </c>
      <c r="I10" s="18" t="inlineStr">
        <is>
          <t>Yes – free (non-Pro) lesson of CodeChef 'Learn SQL'; free account to submit</t>
        </is>
      </c>
      <c r="J10" s="18" t="inlineStr">
        <is>
          <t>Fixing a broken INSERT statement</t>
        </is>
      </c>
      <c r="K10" s="18" t="inlineStr">
        <is>
          <t>T1 SELECT *</t>
        </is>
      </c>
      <c r="L10" s="18" t="inlineStr">
        <is>
          <t>Yes – corrected INSERT, then SELECT * (Topic 1)</t>
        </is>
      </c>
      <c r="M10" s="18" t="inlineStr">
        <is>
          <t>Added (verified)</t>
        </is>
      </c>
      <c r="N10" s="17" t="str">
        <f>IF(M10="Added (verified)","Yes","No")</f>
        <v>Yes</v>
      </c>
      <c r="O10" s="17" t="inlineStr">
        <is>
          <t>H3</t>
        </is>
      </c>
      <c r="P10" s="18" t="inlineStr">
        <is>
          <t>Runs on SQLite.</t>
        </is>
      </c>
    </row>
    <row r="11" ht="41.7" customHeight="1">
      <c r="A11" s="17" t="n">
        <v>2</v>
      </c>
      <c r="B11" s="18" t="inlineStr">
        <is>
          <t>SQL Basics</t>
        </is>
      </c>
      <c r="C11" s="18" t="inlineStr">
        <is>
          <t>CREATE TABLE &amp; INSERT INTO</t>
        </is>
      </c>
      <c r="D11" s="17" t="inlineStr">
        <is>
          <t>Q5</t>
        </is>
      </c>
      <c r="E11" s="18" t="inlineStr">
        <is>
          <t>Project - Customer Database (GSQ53)</t>
        </is>
      </c>
      <c r="F11" s="17" t="inlineStr">
        <is>
          <t>CodeChef</t>
        </is>
      </c>
      <c r="G11" s="18" t="inlineStr">
        <is>
          <t>Medium (CodeChef: easy)</t>
        </is>
      </c>
      <c r="H11" s="19" t="str">
        <f>HYPERLINK("https://www.codechef.com/learn/course/sql/SQ00LS03/problems/GSQ53","https://www.codechef.com/learn/course/sql/SQ00LS03/problems/GSQ53")</f>
        <v>https://www.codechef.com/learn/course/sql/SQ00LS03/problems/GSQ53</v>
      </c>
      <c r="I11" s="18" t="inlineStr">
        <is>
          <t>Yes – free (non-Pro) lesson of CodeChef 'Learn SQL'; free account to submit</t>
        </is>
      </c>
      <c r="J11" s="18" t="inlineStr">
        <is>
          <t>CREATE TABLE + INSERT five rows + display the table</t>
        </is>
      </c>
      <c r="K11" s="18" t="inlineStr">
        <is>
          <t>T1 SELECT *</t>
        </is>
      </c>
      <c r="L11" s="18" t="inlineStr">
        <is>
          <t>Yes – CREATE, INSERT and SELECT * only</t>
        </is>
      </c>
      <c r="M11" s="18" t="inlineStr">
        <is>
          <t>Added (verified)</t>
        </is>
      </c>
      <c r="N11" s="17" t="str">
        <f>IF(M11="Added (verified)","Yes","No")</f>
        <v>Yes</v>
      </c>
      <c r="O11" s="17" t="inlineStr">
        <is>
          <t>I3</t>
        </is>
      </c>
      <c r="P11" s="18" t="inlineStr">
        <is>
          <t>Runs on SQLite.</t>
        </is>
      </c>
    </row>
    <row r="12" ht="41.7" customHeight="1">
      <c r="A12" s="17" t="n">
        <v>3</v>
      </c>
      <c r="B12" s="18" t="inlineStr">
        <is>
          <t>SQL Basics</t>
        </is>
      </c>
      <c r="C12" s="18" t="inlineStr">
        <is>
          <t>Filtering with WHERE</t>
        </is>
      </c>
      <c r="D12" s="17" t="inlineStr">
        <is>
          <t>Q1</t>
        </is>
      </c>
      <c r="E12" s="18" t="inlineStr">
        <is>
          <t>1757. Recyclable and Low Fat Products</t>
        </is>
      </c>
      <c r="F12" s="17" t="inlineStr">
        <is>
          <t>LeetCode</t>
        </is>
      </c>
      <c r="G12" s="18" t="inlineStr">
        <is>
          <t>Easy (LeetCode: Easy)</t>
        </is>
      </c>
      <c r="H12" s="19" t="str">
        <f>HYPERLINK("https://leetcode.com/problems/recyclable-and-low-fat-products/","https://leetcode.com/problems/recyclable-and-low-fat-products/")</f>
        <v>https://leetcode.com/problems/recyclable-and-low-fat-products/</v>
      </c>
      <c r="I12" s="18" t="inlineStr">
        <is>
          <t>Yes – free problem (not Premium); free LeetCode account to submit</t>
        </is>
      </c>
      <c r="J12" s="18" t="inlineStr">
        <is>
          <t>WHERE with AND</t>
        </is>
      </c>
      <c r="K12" s="18" t="inlineStr">
        <is>
          <t>T1 SELECT</t>
        </is>
      </c>
      <c r="L12" s="18" t="inlineStr">
        <is>
          <t>Yes – WHERE low_fats = 'Y' AND recyclable = 'Y'</t>
        </is>
      </c>
      <c r="M12" s="18" t="inlineStr">
        <is>
          <t>Added (verified)</t>
        </is>
      </c>
      <c r="N12" s="17" t="str">
        <f>IF(M12="Added (verified)","Yes","No")</f>
        <v>Yes</v>
      </c>
      <c r="O12" s="17" t="inlineStr">
        <is>
          <t>E4</t>
        </is>
      </c>
      <c r="P12" s="18" t="inlineStr">
        <is>
          <t>Engines: MySQL, MS SQL Server, Oracle, PostgreSQL.</t>
        </is>
      </c>
    </row>
    <row r="13" ht="28.8" customHeight="1">
      <c r="A13" s="17" t="n">
        <v>3</v>
      </c>
      <c r="B13" s="18" t="inlineStr">
        <is>
          <t>SQL Basics</t>
        </is>
      </c>
      <c r="C13" s="18" t="inlineStr">
        <is>
          <t>Filtering with WHERE</t>
        </is>
      </c>
      <c r="D13" s="17" t="inlineStr">
        <is>
          <t>Q2</t>
        </is>
      </c>
      <c r="E13" s="18" t="inlineStr">
        <is>
          <t>Revising the Select Query I</t>
        </is>
      </c>
      <c r="F13" s="17" t="inlineStr">
        <is>
          <t>HackerRank</t>
        </is>
      </c>
      <c r="G13" s="18" t="inlineStr">
        <is>
          <t>Easy (HackerRank: Easy)</t>
        </is>
      </c>
      <c r="H13" s="19" t="str">
        <f>HYPERLINK("https://www.hackerrank.com/challenges/revising-the-select-query/problem","https://www.hackerrank.com/challenges/revising-the-select-query/problem")</f>
        <v>https://www.hackerrank.com/challenges/revising-the-select-query/problem</v>
      </c>
      <c r="I13" s="18" t="inlineStr">
        <is>
          <t>Yes – free; free HackerRank account to submit</t>
        </is>
      </c>
      <c r="J13" s="18" t="inlineStr">
        <is>
          <t>WHERE with = and &gt; combined by AND</t>
        </is>
      </c>
      <c r="K13" s="18" t="inlineStr">
        <is>
          <t>T1 SELECT</t>
        </is>
      </c>
      <c r="L13" s="18" t="inlineStr">
        <is>
          <t>Yes – WHERE CountryCode = 'USA' AND Population &gt; 100000</t>
        </is>
      </c>
      <c r="M13" s="18" t="inlineStr">
        <is>
          <t>Added (verified)</t>
        </is>
      </c>
      <c r="N13" s="17" t="str">
        <f>IF(M13="Added (verified)","Yes","No")</f>
        <v>Yes</v>
      </c>
      <c r="O13" s="17" t="inlineStr">
        <is>
          <t>F4</t>
        </is>
      </c>
      <c r="P13" s="18" t="inlineStr">
        <is>
          <t>Engines: MySQL, MS SQL Server, Oracle, DB2.</t>
        </is>
      </c>
    </row>
    <row r="14" ht="41.7" customHeight="1">
      <c r="A14" s="17" t="n">
        <v>3</v>
      </c>
      <c r="B14" s="18" t="inlineStr">
        <is>
          <t>SQL Basics</t>
        </is>
      </c>
      <c r="C14" s="18" t="inlineStr">
        <is>
          <t>Filtering with WHERE</t>
        </is>
      </c>
      <c r="D14" s="17" t="inlineStr">
        <is>
          <t>Q3</t>
        </is>
      </c>
      <c r="E14" s="18" t="inlineStr">
        <is>
          <t>High Price of Products (SQLPBP12)</t>
        </is>
      </c>
      <c r="F14" s="17" t="inlineStr">
        <is>
          <t>CodeChef</t>
        </is>
      </c>
      <c r="G14" s="18" t="inlineStr">
        <is>
          <t>Easy (CodeChef: easy)</t>
        </is>
      </c>
      <c r="H14" s="19" t="str">
        <f>HYPERLINK("https://www.codechef.com/practice/course/sql-case-studies-topic-wise/SQLBP01/problems/SQLPBP12","https://www.codechef.com/practice/course/sql-case-studies-topic-wise/SQLBP01/problems/SQLPBP12")</f>
        <v>https://www.codechef.com/practice/course/sql-case-studies-topic-wise/SQLBP01/problems/SQLPBP12</v>
      </c>
      <c r="I14" s="18" t="inlineStr">
        <is>
          <t>Yes – free (non-Pro) module of CodeChef 'SQL Practice Queries'; free account to submit</t>
        </is>
      </c>
      <c r="J14" s="18" t="inlineStr">
        <is>
          <t>WHERE with a &gt; comparison</t>
        </is>
      </c>
      <c r="K14" s="18" t="inlineStr">
        <is>
          <t>T1 SELECT</t>
        </is>
      </c>
      <c r="L14" s="18" t="inlineStr">
        <is>
          <t>Yes – WHERE price &gt; 100.00</t>
        </is>
      </c>
      <c r="M14" s="18" t="inlineStr">
        <is>
          <t>Added (verified)</t>
        </is>
      </c>
      <c r="N14" s="17" t="str">
        <f>IF(M14="Added (verified)","Yes","No")</f>
        <v>Yes</v>
      </c>
      <c r="O14" s="17" t="inlineStr">
        <is>
          <t>G4</t>
        </is>
      </c>
      <c r="P14" s="18" t="inlineStr">
        <is>
          <t>Module 'Practice Basic Commands'. MySQL syntax.</t>
        </is>
      </c>
    </row>
    <row r="15" ht="41.7" customHeight="1">
      <c r="A15" s="17" t="n">
        <v>3</v>
      </c>
      <c r="B15" s="18" t="inlineStr">
        <is>
          <t>SQL Basics</t>
        </is>
      </c>
      <c r="C15" s="18" t="inlineStr">
        <is>
          <t>Filtering with WHERE</t>
        </is>
      </c>
      <c r="D15" s="17" t="inlineStr">
        <is>
          <t>Q4</t>
        </is>
      </c>
      <c r="E15" s="18" t="inlineStr">
        <is>
          <t>Handling NULL Values (SQLPBP07)</t>
        </is>
      </c>
      <c r="F15" s="17" t="inlineStr">
        <is>
          <t>CodeChef</t>
        </is>
      </c>
      <c r="G15" s="18" t="inlineStr">
        <is>
          <t>Easy (CodeChef: easy)</t>
        </is>
      </c>
      <c r="H15" s="19" t="str">
        <f>HYPERLINK("https://www.codechef.com/practice/course/sql-case-studies-topic-wise/SQLBP01/problems/SQLPBP07","https://www.codechef.com/practice/course/sql-case-studies-topic-wise/SQLBP01/problems/SQLPBP07")</f>
        <v>https://www.codechef.com/practice/course/sql-case-studies-topic-wise/SQLBP01/problems/SQLPBP07</v>
      </c>
      <c r="I15" s="18" t="inlineStr">
        <is>
          <t>Yes – free (non-Pro) module of CodeChef 'SQL Practice Queries'; free account to submit</t>
        </is>
      </c>
      <c r="J15" s="18" t="inlineStr">
        <is>
          <t>IS NULL</t>
        </is>
      </c>
      <c r="K15" s="18" t="inlineStr">
        <is>
          <t>T1 SELECT</t>
        </is>
      </c>
      <c r="L15" s="18" t="inlineStr">
        <is>
          <t>Yes – WHERE rating IS NULL</t>
        </is>
      </c>
      <c r="M15" s="18" t="inlineStr">
        <is>
          <t>Added (verified)</t>
        </is>
      </c>
      <c r="N15" s="17" t="str">
        <f>IF(M15="Added (verified)","Yes","No")</f>
        <v>Yes</v>
      </c>
      <c r="O15" s="17" t="inlineStr">
        <is>
          <t>H4</t>
        </is>
      </c>
      <c r="P15" s="18" t="inlineStr">
        <is>
          <t>Module 'Practice Basic Commands'. MySQL syntax.</t>
        </is>
      </c>
    </row>
    <row r="16" ht="41.7" customHeight="1">
      <c r="A16" s="17" t="n">
        <v>3</v>
      </c>
      <c r="B16" s="18" t="inlineStr">
        <is>
          <t>SQL Basics</t>
        </is>
      </c>
      <c r="C16" s="18" t="inlineStr">
        <is>
          <t>Filtering with WHERE</t>
        </is>
      </c>
      <c r="D16" s="17" t="inlineStr">
        <is>
          <t>Q5</t>
        </is>
      </c>
      <c r="E16" s="18" t="inlineStr">
        <is>
          <t>584. Find Customer Referee</t>
        </is>
      </c>
      <c r="F16" s="17" t="inlineStr">
        <is>
          <t>LeetCode</t>
        </is>
      </c>
      <c r="G16" s="18" t="inlineStr">
        <is>
          <t>Medium (LeetCode: Easy)</t>
        </is>
      </c>
      <c r="H16" s="19" t="str">
        <f>HYPERLINK("https://leetcode.com/problems/find-customer-referee/","https://leetcode.com/problems/find-customer-referee/")</f>
        <v>https://leetcode.com/problems/find-customer-referee/</v>
      </c>
      <c r="I16" s="18" t="inlineStr">
        <is>
          <t>Yes – free problem (not Premium); free LeetCode account to submit</t>
        </is>
      </c>
      <c r="J16" s="18" t="inlineStr">
        <is>
          <t>NULL-aware filtering (&lt;&gt; plus OR ... IS NULL)</t>
        </is>
      </c>
      <c r="K16" s="18" t="inlineStr">
        <is>
          <t>T1 SELECT</t>
        </is>
      </c>
      <c r="L16" s="18" t="inlineStr">
        <is>
          <t>Yes – WHERE referee_id &lt;&gt; 2 OR referee_id IS NULL</t>
        </is>
      </c>
      <c r="M16" s="18" t="inlineStr">
        <is>
          <t>Added (verified)</t>
        </is>
      </c>
      <c r="N16" s="17" t="str">
        <f>IF(M16="Added (verified)","Yes","No")</f>
        <v>Yes</v>
      </c>
      <c r="O16" s="17" t="inlineStr">
        <is>
          <t>I4</t>
        </is>
      </c>
      <c r="P16" s="18" t="inlineStr">
        <is>
          <t>Engines: MySQL, MS SQL Server, Oracle, PostgreSQL.</t>
        </is>
      </c>
    </row>
    <row r="17" ht="41.7" customHeight="1">
      <c r="A17" s="17" t="n">
        <v>4</v>
      </c>
      <c r="B17" s="18" t="inlineStr">
        <is>
          <t>SQL Basics</t>
        </is>
      </c>
      <c r="C17" s="18" t="inlineStr">
        <is>
          <t>DISTINCT, ORDER BY &amp; LIMIT</t>
        </is>
      </c>
      <c r="D17" s="17" t="inlineStr">
        <is>
          <t>Q1</t>
        </is>
      </c>
      <c r="E17" s="18" t="inlineStr">
        <is>
          <t>Distinct Companies (SQLPBP13)</t>
        </is>
      </c>
      <c r="F17" s="17" t="inlineStr">
        <is>
          <t>CodeChef</t>
        </is>
      </c>
      <c r="G17" s="18" t="inlineStr">
        <is>
          <t>Easy (CodeChef: easy)</t>
        </is>
      </c>
      <c r="H17" s="19" t="str">
        <f>HYPERLINK("https://www.codechef.com/practice/course/sql-case-studies-topic-wise/SQLBP01/problems/SQLPBP13","https://www.codechef.com/practice/course/sql-case-studies-topic-wise/SQLBP01/problems/SQLPBP13")</f>
        <v>https://www.codechef.com/practice/course/sql-case-studies-topic-wise/SQLBP01/problems/SQLPBP13</v>
      </c>
      <c r="I17" s="18" t="inlineStr">
        <is>
          <t>Yes – free (non-Pro) module of CodeChef 'SQL Practice Queries'; free account to submit</t>
        </is>
      </c>
      <c r="J17" s="18" t="inlineStr">
        <is>
          <t>SELECT DISTINCT</t>
        </is>
      </c>
      <c r="K17" s="18" t="inlineStr">
        <is>
          <t>T1 SELECT</t>
        </is>
      </c>
      <c r="L17" s="18" t="inlineStr">
        <is>
          <t>Yes – SELECT DISTINCT company_name FROM Works</t>
        </is>
      </c>
      <c r="M17" s="18" t="inlineStr">
        <is>
          <t>Added (verified)</t>
        </is>
      </c>
      <c r="N17" s="17" t="str">
        <f>IF(M17="Added (verified)","Yes","No")</f>
        <v>Yes</v>
      </c>
      <c r="O17" s="17" t="inlineStr">
        <is>
          <t>E5</t>
        </is>
      </c>
      <c r="P17" s="18" t="inlineStr">
        <is>
          <t>Module 'Practice Basic Commands'. MySQL syntax.</t>
        </is>
      </c>
    </row>
    <row r="18" ht="28.8" customHeight="1">
      <c r="A18" s="17" t="n">
        <v>4</v>
      </c>
      <c r="B18" s="18" t="inlineStr">
        <is>
          <t>SQL Basics</t>
        </is>
      </c>
      <c r="C18" s="18" t="inlineStr">
        <is>
          <t>DISTINCT, ORDER BY &amp; LIMIT</t>
        </is>
      </c>
      <c r="D18" s="17" t="inlineStr">
        <is>
          <t>Q2</t>
        </is>
      </c>
      <c r="E18" s="18" t="inlineStr">
        <is>
          <t>Employee Names</t>
        </is>
      </c>
      <c r="F18" s="17" t="inlineStr">
        <is>
          <t>HackerRank</t>
        </is>
      </c>
      <c r="G18" s="18" t="inlineStr">
        <is>
          <t>Easy (HackerRank: Easy)</t>
        </is>
      </c>
      <c r="H18" s="19" t="str">
        <f>HYPERLINK("https://www.hackerrank.com/challenges/name-of-employees/problem","https://www.hackerrank.com/challenges/name-of-employees/problem")</f>
        <v>https://www.hackerrank.com/challenges/name-of-employees/problem</v>
      </c>
      <c r="I18" s="18" t="inlineStr">
        <is>
          <t>Yes – free; free HackerRank account to submit</t>
        </is>
      </c>
      <c r="J18" s="18" t="inlineStr">
        <is>
          <t>ORDER BY (alphabetical)</t>
        </is>
      </c>
      <c r="K18" s="18" t="inlineStr">
        <is>
          <t>T1 SELECT</t>
        </is>
      </c>
      <c r="L18" s="18" t="inlineStr">
        <is>
          <t>Yes – SELECT name FROM Employee ORDER BY name</t>
        </is>
      </c>
      <c r="M18" s="18" t="inlineStr">
        <is>
          <t>Added (verified)</t>
        </is>
      </c>
      <c r="N18" s="17" t="str">
        <f>IF(M18="Added (verified)","Yes","No")</f>
        <v>Yes</v>
      </c>
      <c r="O18" s="17" t="inlineStr">
        <is>
          <t>F5</t>
        </is>
      </c>
      <c r="P18" s="18" t="inlineStr">
        <is>
          <t>Engines: MySQL, MS SQL Server, Oracle, DB2.</t>
        </is>
      </c>
    </row>
    <row r="19" ht="41.7" customHeight="1">
      <c r="A19" s="17" t="n">
        <v>4</v>
      </c>
      <c r="B19" s="18" t="inlineStr">
        <is>
          <t>SQL Basics</t>
        </is>
      </c>
      <c r="C19" s="18" t="inlineStr">
        <is>
          <t>DISTINCT, ORDER BY &amp; LIMIT</t>
        </is>
      </c>
      <c r="D19" s="17" t="inlineStr">
        <is>
          <t>Q3</t>
        </is>
      </c>
      <c r="E19" s="18" t="inlineStr">
        <is>
          <t>1148. Article Views I</t>
        </is>
      </c>
      <c r="F19" s="17" t="inlineStr">
        <is>
          <t>LeetCode</t>
        </is>
      </c>
      <c r="G19" s="18" t="inlineStr">
        <is>
          <t>Easy (LeetCode: Easy)</t>
        </is>
      </c>
      <c r="H19" s="19" t="str">
        <f>HYPERLINK("https://leetcode.com/problems/article-views-i/","https://leetcode.com/problems/article-views-i/")</f>
        <v>https://leetcode.com/problems/article-views-i/</v>
      </c>
      <c r="I19" s="18" t="inlineStr">
        <is>
          <t>Yes – free problem (not Premium); free LeetCode account to submit</t>
        </is>
      </c>
      <c r="J19" s="18" t="inlineStr">
        <is>
          <t>DISTINCT + ORDER BY after a WHERE filter</t>
        </is>
      </c>
      <c r="K19" s="18" t="inlineStr">
        <is>
          <t>T1, T3 WHERE</t>
        </is>
      </c>
      <c r="L19" s="18" t="inlineStr">
        <is>
          <t>Yes – SELECT DISTINCT author_id ... WHERE author_id = viewer_id ORDER BY id</t>
        </is>
      </c>
      <c r="M19" s="18" t="inlineStr">
        <is>
          <t>Added (verified)</t>
        </is>
      </c>
      <c r="N19" s="17" t="str">
        <f>IF(M19="Added (verified)","Yes","No")</f>
        <v>Yes</v>
      </c>
      <c r="O19" s="17" t="inlineStr">
        <is>
          <t>G5</t>
        </is>
      </c>
      <c r="P19" s="18" t="inlineStr">
        <is>
          <t>Engines: MySQL, MS SQL Server, Oracle, PostgreSQL.</t>
        </is>
      </c>
    </row>
    <row r="20" ht="28.8" customHeight="1">
      <c r="A20" s="17" t="n">
        <v>4</v>
      </c>
      <c r="B20" s="18" t="inlineStr">
        <is>
          <t>SQL Basics</t>
        </is>
      </c>
      <c r="C20" s="18" t="inlineStr">
        <is>
          <t>DISTINCT, ORDER BY &amp; LIMIT</t>
        </is>
      </c>
      <c r="D20" s="17" t="inlineStr">
        <is>
          <t>Q4</t>
        </is>
      </c>
      <c r="E20" s="18" t="inlineStr">
        <is>
          <t>Employee Salaries</t>
        </is>
      </c>
      <c r="F20" s="17" t="inlineStr">
        <is>
          <t>HackerRank</t>
        </is>
      </c>
      <c r="G20" s="18" t="inlineStr">
        <is>
          <t>Medium (HackerRank: Easy)</t>
        </is>
      </c>
      <c r="H20" s="19" t="str">
        <f>HYPERLINK("https://www.hackerrank.com/challenges/salary-of-employees/problem","https://www.hackerrank.com/challenges/salary-of-employees/problem")</f>
        <v>https://www.hackerrank.com/challenges/salary-of-employees/problem</v>
      </c>
      <c r="I20" s="18" t="inlineStr">
        <is>
          <t>Yes – free; free HackerRank account to submit</t>
        </is>
      </c>
      <c r="J20" s="18" t="inlineStr">
        <is>
          <t>Filter, then sort by a key</t>
        </is>
      </c>
      <c r="K20" s="18" t="inlineStr">
        <is>
          <t>T3 WHERE</t>
        </is>
      </c>
      <c r="L20" s="18" t="inlineStr">
        <is>
          <t>Yes – WHERE salary &gt; 2000 AND months &lt; 10 ORDER BY employee_id</t>
        </is>
      </c>
      <c r="M20" s="18" t="inlineStr">
        <is>
          <t>Added (verified)</t>
        </is>
      </c>
      <c r="N20" s="17" t="str">
        <f>IF(M20="Added (verified)","Yes","No")</f>
        <v>Yes</v>
      </c>
      <c r="O20" s="17" t="inlineStr">
        <is>
          <t>H5</t>
        </is>
      </c>
      <c r="P20" s="18" t="inlineStr">
        <is>
          <t>Engines: MySQL, MS SQL Server, Oracle, DB2.</t>
        </is>
      </c>
    </row>
    <row r="21" ht="41.7" customHeight="1">
      <c r="A21" s="17" t="n">
        <v>4</v>
      </c>
      <c r="B21" s="18" t="inlineStr">
        <is>
          <t>SQL Basics</t>
        </is>
      </c>
      <c r="C21" s="18" t="inlineStr">
        <is>
          <t>DISTINCT, ORDER BY &amp; LIMIT</t>
        </is>
      </c>
      <c r="D21" s="17" t="inlineStr">
        <is>
          <t>Q5</t>
        </is>
      </c>
      <c r="E21" s="18" t="inlineStr">
        <is>
          <t>Task-3C Data Retrieval Using Queries (RSMSPR03C)</t>
        </is>
      </c>
      <c r="F21" s="17" t="inlineStr">
        <is>
          <t>CodeChef</t>
        </is>
      </c>
      <c r="G21" s="18" t="inlineStr">
        <is>
          <t>Medium (CodeChef: easy)</t>
        </is>
      </c>
      <c r="H21" s="19" t="str">
        <f>HYPERLINK("https://www.codechef.com/learn/course/sql/BEGSQLPR/problems/RSMSPR03C","https://www.codechef.com/learn/course/sql/BEGSQLPR/problems/RSMSPR03C")</f>
        <v>https://www.codechef.com/learn/course/sql/BEGSQLPR/problems/RSMSPR03C</v>
      </c>
      <c r="I21" s="18" t="inlineStr">
        <is>
          <t>Yes – free (non-Pro) lesson of CodeChef 'Learn SQL'; free account to submit</t>
        </is>
      </c>
      <c r="J21" s="18" t="inlineStr">
        <is>
          <t>Top-N with ORDER BY ... DESC LIMIT</t>
        </is>
      </c>
      <c r="K21" s="18" t="inlineStr">
        <is>
          <t>T1 SELECT</t>
        </is>
      </c>
      <c r="L21" s="18" t="inlineStr">
        <is>
          <t>Yes – ORDER BY price DESC LIMIT 2</t>
        </is>
      </c>
      <c r="M21" s="18" t="inlineStr">
        <is>
          <t>Added (verified)</t>
        </is>
      </c>
      <c r="N21" s="17" t="str">
        <f>IF(M21="Added (verified)","Yes","No")</f>
        <v>Yes</v>
      </c>
      <c r="O21" s="17" t="inlineStr">
        <is>
          <t>I5</t>
        </is>
      </c>
      <c r="P21" s="18" t="inlineStr">
        <is>
          <t>Lesson of the free 'Retail store management system' project; the tables it needs are pre-loaded and shown in the statement. Runs on SQLite.</t>
        </is>
      </c>
    </row>
    <row r="22" ht="41.7" customHeight="1">
      <c r="A22" s="17" t="n">
        <v>5</v>
      </c>
      <c r="B22" s="18" t="inlineStr">
        <is>
          <t>SQL Basics</t>
        </is>
      </c>
      <c r="C22" s="18" t="inlineStr">
        <is>
          <t>BETWEEN, IN &amp; LIKE</t>
        </is>
      </c>
      <c r="D22" s="17" t="inlineStr">
        <is>
          <t>Q1</t>
        </is>
      </c>
      <c r="E22" s="18" t="inlineStr">
        <is>
          <t>BETWEEN (GSQ19A)</t>
        </is>
      </c>
      <c r="F22" s="17" t="inlineStr">
        <is>
          <t>CodeChef</t>
        </is>
      </c>
      <c r="G22" s="18" t="inlineStr">
        <is>
          <t>Easy (CodeChef: easy)</t>
        </is>
      </c>
      <c r="H22" s="19" t="str">
        <f>HYPERLINK("https://www.codechef.com/learn/course/sql/SQ00LS04/problems/GSQ19A","https://www.codechef.com/learn/course/sql/SQ00LS04/problems/GSQ19A")</f>
        <v>https://www.codechef.com/learn/course/sql/SQ00LS04/problems/GSQ19A</v>
      </c>
      <c r="I22" s="18" t="inlineStr">
        <is>
          <t>Yes – free (non-Pro) lesson of CodeChef 'Learn SQL'; free account to submit</t>
        </is>
      </c>
      <c r="J22" s="18" t="inlineStr">
        <is>
          <t>BETWEEN ... AND ...</t>
        </is>
      </c>
      <c r="K22" s="18" t="inlineStr">
        <is>
          <t>T1, T3 WHERE</t>
        </is>
      </c>
      <c r="L22" s="18" t="inlineStr">
        <is>
          <t>Yes – WHERE passenger_name BETWEEN 'A' AND 'D'</t>
        </is>
      </c>
      <c r="M22" s="18" t="inlineStr">
        <is>
          <t>Added (verified)</t>
        </is>
      </c>
      <c r="N22" s="17" t="str">
        <f>IF(M22="Added (verified)","Yes","No")</f>
        <v>Yes</v>
      </c>
      <c r="O22" s="17" t="inlineStr">
        <is>
          <t>E6</t>
        </is>
      </c>
      <c r="P22" s="18" t="inlineStr">
        <is>
          <t>Runs on SQLite.</t>
        </is>
      </c>
    </row>
    <row r="23" ht="41.7" customHeight="1">
      <c r="A23" s="17" t="n">
        <v>5</v>
      </c>
      <c r="B23" s="18" t="inlineStr">
        <is>
          <t>SQL Basics</t>
        </is>
      </c>
      <c r="C23" s="18" t="inlineStr">
        <is>
          <t>BETWEEN, IN &amp; LIKE</t>
        </is>
      </c>
      <c r="D23" s="17" t="inlineStr">
        <is>
          <t>Q2</t>
        </is>
      </c>
      <c r="E23" s="18" t="inlineStr">
        <is>
          <t>Practice - Filter with multiple Like patterns (GSQ26)</t>
        </is>
      </c>
      <c r="F23" s="17" t="inlineStr">
        <is>
          <t>CodeChef</t>
        </is>
      </c>
      <c r="G23" s="18" t="inlineStr">
        <is>
          <t>Easy (CodeChef: easy)</t>
        </is>
      </c>
      <c r="H23" s="19" t="str">
        <f>HYPERLINK("https://www.codechef.com/learn/course/sql/SQ00LS05/problems/GSQ26","https://www.codechef.com/learn/course/sql/SQ00LS05/problems/GSQ26")</f>
        <v>https://www.codechef.com/learn/course/sql/SQ00LS05/problems/GSQ26</v>
      </c>
      <c r="I23" s="18" t="inlineStr">
        <is>
          <t>Yes – free (non-Pro) lesson of CodeChef 'Learn SQL'; free account to submit</t>
        </is>
      </c>
      <c r="J23" s="18" t="inlineStr">
        <is>
          <t>LIKE with % wildcards combined by AND</t>
        </is>
      </c>
      <c r="K23" s="18" t="inlineStr">
        <is>
          <t>T3 WHERE / AND</t>
        </is>
      </c>
      <c r="L23" s="18" t="inlineStr">
        <is>
          <t>Yes – destination LIKE '%o' AND origin LIKE 'M%'</t>
        </is>
      </c>
      <c r="M23" s="18" t="inlineStr">
        <is>
          <t>Added (verified)</t>
        </is>
      </c>
      <c r="N23" s="17" t="str">
        <f>IF(M23="Added (verified)","Yes","No")</f>
        <v>Yes</v>
      </c>
      <c r="O23" s="17" t="inlineStr">
        <is>
          <t>F6</t>
        </is>
      </c>
      <c r="P23" s="18" t="inlineStr">
        <is>
          <t>Runs on SQLite.</t>
        </is>
      </c>
    </row>
    <row r="24" ht="41.7" customHeight="1">
      <c r="A24" s="17" t="n">
        <v>5</v>
      </c>
      <c r="B24" s="18" t="inlineStr">
        <is>
          <t>SQL Basics</t>
        </is>
      </c>
      <c r="C24" s="18" t="inlineStr">
        <is>
          <t>BETWEEN, IN &amp; LIKE</t>
        </is>
      </c>
      <c r="D24" s="17" t="inlineStr">
        <is>
          <t>Q3</t>
        </is>
      </c>
      <c r="E24" s="18" t="inlineStr">
        <is>
          <t>1527. Patients With a Condition</t>
        </is>
      </c>
      <c r="F24" s="17" t="inlineStr">
        <is>
          <t>LeetCode</t>
        </is>
      </c>
      <c r="G24" s="18" t="inlineStr">
        <is>
          <t>Medium (LeetCode: Easy)</t>
        </is>
      </c>
      <c r="H24" s="19" t="str">
        <f>HYPERLINK("https://leetcode.com/problems/patients-with-a-condition/","https://leetcode.com/problems/patients-with-a-condition/")</f>
        <v>https://leetcode.com/problems/patients-with-a-condition/</v>
      </c>
      <c r="I24" s="18" t="inlineStr">
        <is>
          <t>Yes – free problem (not Premium); free LeetCode account to submit</t>
        </is>
      </c>
      <c r="J24" s="18" t="inlineStr">
        <is>
          <t>LIKE on a word inside a space-separated list</t>
        </is>
      </c>
      <c r="K24" s="18" t="inlineStr">
        <is>
          <t>T3 OR</t>
        </is>
      </c>
      <c r="L24" s="18" t="inlineStr">
        <is>
          <t>Yes – conditions LIKE 'DIAB1%' OR conditions LIKE '% DIAB1%'</t>
        </is>
      </c>
      <c r="M24" s="18" t="inlineStr">
        <is>
          <t>Added (verified)</t>
        </is>
      </c>
      <c r="N24" s="17" t="str">
        <f>IF(M24="Added (verified)","Yes","No")</f>
        <v>Yes</v>
      </c>
      <c r="O24" s="17" t="inlineStr">
        <is>
          <t>G6</t>
        </is>
      </c>
      <c r="P24" s="18" t="inlineStr">
        <is>
          <t>Engines: MySQL, MS SQL Server, Oracle, PostgreSQL.</t>
        </is>
      </c>
    </row>
    <row r="25" ht="28.8" customHeight="1">
      <c r="A25" s="17" t="n">
        <v>5</v>
      </c>
      <c r="B25" s="18" t="inlineStr">
        <is>
          <t>SQL Basics</t>
        </is>
      </c>
      <c r="C25" s="18" t="inlineStr">
        <is>
          <t>BETWEEN, IN &amp; LIKE</t>
        </is>
      </c>
      <c r="D25" s="17" t="inlineStr">
        <is>
          <t>Q4</t>
        </is>
      </c>
      <c r="E25" s="18" t="inlineStr">
        <is>
          <t>Weather Observation Station 6</t>
        </is>
      </c>
      <c r="F25" s="17" t="inlineStr">
        <is>
          <t>HackerRank</t>
        </is>
      </c>
      <c r="G25" s="18" t="inlineStr">
        <is>
          <t>Medium (HackerRank: Easy)</t>
        </is>
      </c>
      <c r="H25" s="19" t="str">
        <f>HYPERLINK("https://www.hackerrank.com/challenges/weather-observation-station-6/problem","https://www.hackerrank.com/challenges/weather-observation-station-6/problem")</f>
        <v>https://www.hackerrank.com/challenges/weather-observation-station-6/problem</v>
      </c>
      <c r="I25" s="18" t="inlineStr">
        <is>
          <t>Yes – free; free HackerRank account to submit</t>
        </is>
      </c>
      <c r="J25" s="18" t="inlineStr">
        <is>
          <t>LIKE patterns for a first letter + DISTINCT</t>
        </is>
      </c>
      <c r="K25" s="18" t="inlineStr">
        <is>
          <t>T3 OR, T4 DISTINCT</t>
        </is>
      </c>
      <c r="L25" s="18" t="inlineStr">
        <is>
          <t>Yes – five OR'ed LIKE patterns ('a%', 'e%', ...) with DISTINCT (Topic 4)</t>
        </is>
      </c>
      <c r="M25" s="18" t="inlineStr">
        <is>
          <t>Added (verified)</t>
        </is>
      </c>
      <c r="N25" s="17" t="str">
        <f>IF(M25="Added (verified)","Yes","No")</f>
        <v>Yes</v>
      </c>
      <c r="O25" s="17" t="inlineStr">
        <is>
          <t>H6</t>
        </is>
      </c>
      <c r="P25" s="18" t="inlineStr">
        <is>
          <t>Engines: MySQL, MS SQL Server, Oracle, DB2.</t>
        </is>
      </c>
    </row>
    <row r="26" ht="28.8" customHeight="1">
      <c r="A26" s="17" t="n">
        <v>5</v>
      </c>
      <c r="B26" s="18" t="inlineStr">
        <is>
          <t>SQL Basics</t>
        </is>
      </c>
      <c r="C26" s="18" t="inlineStr">
        <is>
          <t>BETWEEN, IN &amp; LIKE</t>
        </is>
      </c>
      <c r="D26" s="17" t="inlineStr">
        <is>
          <t>Q5</t>
        </is>
      </c>
      <c r="E26" s="18" t="inlineStr">
        <is>
          <t>Weather Observation Station 12</t>
        </is>
      </c>
      <c r="F26" s="17" t="inlineStr">
        <is>
          <t>HackerRank</t>
        </is>
      </c>
      <c r="G26" s="18" t="inlineStr">
        <is>
          <t>Challenging (HackerRank: Easy)</t>
        </is>
      </c>
      <c r="H26" s="19" t="str">
        <f>HYPERLINK("https://www.hackerrank.com/challenges/weather-observation-station-12/problem","https://www.hackerrank.com/challenges/weather-observation-station-12/problem")</f>
        <v>https://www.hackerrank.com/challenges/weather-observation-station-12/problem</v>
      </c>
      <c r="I26" s="18" t="inlineStr">
        <is>
          <t>Yes – free; free HackerRank account to submit</t>
        </is>
      </c>
      <c r="J26" s="18" t="inlineStr">
        <is>
          <t>NOT LIKE on first and last letters + DISTINCT</t>
        </is>
      </c>
      <c r="K26" s="18" t="inlineStr">
        <is>
          <t>T3 AND, T4 DISTINCT</t>
        </is>
      </c>
      <c r="L26" s="18" t="inlineStr">
        <is>
          <t>Yes – NOT LIKE patterns for both ends with DISTINCT (Topic 4)</t>
        </is>
      </c>
      <c r="M26" s="18" t="inlineStr">
        <is>
          <t>Added (verified)</t>
        </is>
      </c>
      <c r="N26" s="17" t="str">
        <f>IF(M26="Added (verified)","Yes","No")</f>
        <v>Yes</v>
      </c>
      <c r="O26" s="17" t="inlineStr">
        <is>
          <t>I6</t>
        </is>
      </c>
      <c r="P26" s="18" t="inlineStr">
        <is>
          <t>Engines: MySQL, MS SQL Server, Oracle, DB2.</t>
        </is>
      </c>
    </row>
    <row r="27" ht="41.7" customHeight="1">
      <c r="A27" s="17" t="n">
        <v>6</v>
      </c>
      <c r="B27" s="18" t="inlineStr">
        <is>
          <t>Functions &amp; Aggregation</t>
        </is>
      </c>
      <c r="C27" s="18" t="inlineStr">
        <is>
          <t>String Functions</t>
        </is>
      </c>
      <c r="D27" s="17" t="inlineStr">
        <is>
          <t>Q1</t>
        </is>
      </c>
      <c r="E27" s="18" t="inlineStr">
        <is>
          <t>1683. Invalid Tweets</t>
        </is>
      </c>
      <c r="F27" s="17" t="inlineStr">
        <is>
          <t>LeetCode</t>
        </is>
      </c>
      <c r="G27" s="18" t="inlineStr">
        <is>
          <t>Easy (LeetCode: Easy)</t>
        </is>
      </c>
      <c r="H27" s="19" t="str">
        <f>HYPERLINK("https://leetcode.com/problems/invalid-tweets/","https://leetcode.com/problems/invalid-tweets/")</f>
        <v>https://leetcode.com/problems/invalid-tweets/</v>
      </c>
      <c r="I27" s="18" t="inlineStr">
        <is>
          <t>Yes – free problem (not Premium); free LeetCode account to submit</t>
        </is>
      </c>
      <c r="J27" s="18" t="inlineStr">
        <is>
          <t>LENGTH() / CHAR_LENGTH()</t>
        </is>
      </c>
      <c r="K27" s="18" t="inlineStr">
        <is>
          <t>T3 WHERE</t>
        </is>
      </c>
      <c r="L27" s="18" t="inlineStr">
        <is>
          <t>Yes – WHERE CHAR_LENGTH(content) &gt; 15</t>
        </is>
      </c>
      <c r="M27" s="18" t="inlineStr">
        <is>
          <t>Added (verified)</t>
        </is>
      </c>
      <c r="N27" s="17" t="str">
        <f>IF(M27="Added (verified)","Yes","No")</f>
        <v>Yes</v>
      </c>
      <c r="O27" s="17" t="inlineStr">
        <is>
          <t>E7</t>
        </is>
      </c>
      <c r="P27" s="18" t="inlineStr">
        <is>
          <t>Engines: MySQL, MS SQL Server, Oracle, PostgreSQL.</t>
        </is>
      </c>
    </row>
    <row r="28" ht="28.8" customHeight="1">
      <c r="A28" s="17" t="n">
        <v>6</v>
      </c>
      <c r="B28" s="18" t="inlineStr">
        <is>
          <t>Functions &amp; Aggregation</t>
        </is>
      </c>
      <c r="C28" s="18" t="inlineStr">
        <is>
          <t>String Functions</t>
        </is>
      </c>
      <c r="D28" s="17" t="inlineStr">
        <is>
          <t>Q2</t>
        </is>
      </c>
      <c r="E28" s="18" t="inlineStr">
        <is>
          <t>Higher Than 75 Marks</t>
        </is>
      </c>
      <c r="F28" s="17" t="inlineStr">
        <is>
          <t>HackerRank</t>
        </is>
      </c>
      <c r="G28" s="18" t="inlineStr">
        <is>
          <t>Easy (HackerRank: Easy)</t>
        </is>
      </c>
      <c r="H28" s="19" t="str">
        <f>HYPERLINK("https://www.hackerrank.com/challenges/more-than-75-marks/problem","https://www.hackerrank.com/challenges/more-than-75-marks/problem")</f>
        <v>https://www.hackerrank.com/challenges/more-than-75-marks/problem</v>
      </c>
      <c r="I28" s="18" t="inlineStr">
        <is>
          <t>Yes – free; free HackerRank account to submit</t>
        </is>
      </c>
      <c r="J28" s="18" t="inlineStr">
        <is>
          <t>RIGHT() / SUBSTRING() as a sort key</t>
        </is>
      </c>
      <c r="K28" s="18" t="inlineStr">
        <is>
          <t>T3 WHERE, T4 ORDER BY</t>
        </is>
      </c>
      <c r="L28" s="18" t="inlineStr">
        <is>
          <t>Yes – WHERE Marks &gt; 75 ORDER BY RIGHT(Name, 3), ID</t>
        </is>
      </c>
      <c r="M28" s="18" t="inlineStr">
        <is>
          <t>Added (verified)</t>
        </is>
      </c>
      <c r="N28" s="17" t="str">
        <f>IF(M28="Added (verified)","Yes","No")</f>
        <v>Yes</v>
      </c>
      <c r="O28" s="17" t="inlineStr">
        <is>
          <t>F7</t>
        </is>
      </c>
      <c r="P28" s="18" t="inlineStr">
        <is>
          <t>Engines: MySQL, MS SQL Server, Oracle, DB2.</t>
        </is>
      </c>
    </row>
    <row r="29" ht="41.7" customHeight="1">
      <c r="A29" s="17" t="n">
        <v>6</v>
      </c>
      <c r="B29" s="18" t="inlineStr">
        <is>
          <t>Functions &amp; Aggregation</t>
        </is>
      </c>
      <c r="C29" s="18" t="inlineStr">
        <is>
          <t>String Functions</t>
        </is>
      </c>
      <c r="D29" s="17" t="inlineStr">
        <is>
          <t>Q3</t>
        </is>
      </c>
      <c r="E29" s="18" t="inlineStr">
        <is>
          <t>1667. Fix Names in a Table</t>
        </is>
      </c>
      <c r="F29" s="17" t="inlineStr">
        <is>
          <t>LeetCode</t>
        </is>
      </c>
      <c r="G29" s="18" t="inlineStr">
        <is>
          <t>Medium (LeetCode: Easy)</t>
        </is>
      </c>
      <c r="H29" s="19" t="str">
        <f>HYPERLINK("https://leetcode.com/problems/fix-names-in-a-table/","https://leetcode.com/problems/fix-names-in-a-table/")</f>
        <v>https://leetcode.com/problems/fix-names-in-a-table/</v>
      </c>
      <c r="I29" s="18" t="inlineStr">
        <is>
          <t>Yes – free problem (not Premium); free LeetCode account to submit</t>
        </is>
      </c>
      <c r="J29" s="18" t="inlineStr">
        <is>
          <t>UPPER, LOWER, SUBSTRING and CONCAT together</t>
        </is>
      </c>
      <c r="K29" s="18" t="inlineStr">
        <is>
          <t>T4 ORDER BY</t>
        </is>
      </c>
      <c r="L29" s="18" t="inlineStr">
        <is>
          <t>Yes – CONCAT(UPPER(LEFT(name,1)), LOWER(SUBSTRING(name,2))) ... ORDER BY user_id</t>
        </is>
      </c>
      <c r="M29" s="18" t="inlineStr">
        <is>
          <t>Added (verified)</t>
        </is>
      </c>
      <c r="N29" s="17" t="str">
        <f>IF(M29="Added (verified)","Yes","No")</f>
        <v>Yes</v>
      </c>
      <c r="O29" s="17" t="inlineStr">
        <is>
          <t>G7</t>
        </is>
      </c>
      <c r="P29" s="18" t="inlineStr">
        <is>
          <t>Engines: MySQL, MS SQL Server, Oracle, PostgreSQL.</t>
        </is>
      </c>
    </row>
    <row r="30" ht="28.8" customHeight="1">
      <c r="A30" s="17" t="n">
        <v>6</v>
      </c>
      <c r="B30" s="18" t="inlineStr">
        <is>
          <t>Functions &amp; Aggregation</t>
        </is>
      </c>
      <c r="C30" s="18" t="inlineStr">
        <is>
          <t>String Functions</t>
        </is>
      </c>
      <c r="D30" s="17" t="inlineStr">
        <is>
          <t>Q4</t>
        </is>
      </c>
      <c r="E30" s="18" t="inlineStr">
        <is>
          <t>Weather Observation Station 5</t>
        </is>
      </c>
      <c r="F30" s="17" t="inlineStr">
        <is>
          <t>HackerRank</t>
        </is>
      </c>
      <c r="G30" s="18" t="inlineStr">
        <is>
          <t>Medium (HackerRank: Easy)</t>
        </is>
      </c>
      <c r="H30" s="19" t="str">
        <f>HYPERLINK("https://www.hackerrank.com/challenges/weather-observation-station-5/problem","https://www.hackerrank.com/challenges/weather-observation-station-5/problem")</f>
        <v>https://www.hackerrank.com/challenges/weather-observation-station-5/problem</v>
      </c>
      <c r="I30" s="18" t="inlineStr">
        <is>
          <t>Yes – free; free HackerRank account to submit</t>
        </is>
      </c>
      <c r="J30" s="18" t="inlineStr">
        <is>
          <t>LENGTH() as a sort key with LIMIT 1</t>
        </is>
      </c>
      <c r="K30" s="18" t="inlineStr">
        <is>
          <t>T4 ORDER BY / LIMIT</t>
        </is>
      </c>
      <c r="L30" s="18" t="inlineStr">
        <is>
          <t>Yes – two separate SELECTs, each ORDER BY LENGTH(CITY), CITY LIMIT 1 (UNION not needed)</t>
        </is>
      </c>
      <c r="M30" s="18" t="inlineStr">
        <is>
          <t>Added (verified)</t>
        </is>
      </c>
      <c r="N30" s="17" t="str">
        <f>IF(M30="Added (verified)","Yes","No")</f>
        <v>Yes</v>
      </c>
      <c r="O30" s="17" t="inlineStr">
        <is>
          <t>H7</t>
        </is>
      </c>
      <c r="P30" s="18" t="inlineStr">
        <is>
          <t>Engines: MySQL, MS SQL Server, Oracle, DB2.</t>
        </is>
      </c>
    </row>
    <row r="31" ht="41.7" customHeight="1">
      <c r="A31" s="17" t="n">
        <v>6</v>
      </c>
      <c r="B31" s="18" t="inlineStr">
        <is>
          <t>Functions &amp; Aggregation</t>
        </is>
      </c>
      <c r="C31" s="18" t="inlineStr">
        <is>
          <t>String Functions</t>
        </is>
      </c>
      <c r="D31" s="17" t="inlineStr">
        <is>
          <t>Q5</t>
        </is>
      </c>
      <c r="E31" s="18" t="inlineStr">
        <is>
          <t>1517. Find Users With Valid E-Mails</t>
        </is>
      </c>
      <c r="F31" s="17" t="inlineStr">
        <is>
          <t>LeetCode</t>
        </is>
      </c>
      <c r="G31" s="18" t="inlineStr">
        <is>
          <t>Challenging (LeetCode: Easy)</t>
        </is>
      </c>
      <c r="H31" s="19" t="str">
        <f>HYPERLINK("https://leetcode.com/problems/find-users-with-valid-e-mails/","https://leetcode.com/problems/find-users-with-valid-e-mails/")</f>
        <v>https://leetcode.com/problems/find-users-with-valid-e-mails/</v>
      </c>
      <c r="I31" s="18" t="inlineStr">
        <is>
          <t>Yes – free problem (not Premium); free LeetCode account to submit</t>
        </is>
      </c>
      <c r="J31" s="18" t="inlineStr">
        <is>
          <t>Regular-expression matching (REGEXP / REGEXP_LIKE)</t>
        </is>
      </c>
      <c r="K31" s="18" t="inlineStr">
        <is>
          <t>T3 WHERE, T5 LIKE</t>
        </is>
      </c>
      <c r="L31" s="18" t="inlineStr">
        <is>
          <t>Yes – one REGEXP condition in WHERE</t>
        </is>
      </c>
      <c r="M31" s="18" t="inlineStr">
        <is>
          <t>Added (verified)</t>
        </is>
      </c>
      <c r="N31" s="17" t="str">
        <f>IF(M31="Added (verified)","Yes","No")</f>
        <v>Yes</v>
      </c>
      <c r="O31" s="17" t="inlineStr">
        <is>
          <t>I7</t>
        </is>
      </c>
      <c r="P31" s="18" t="inlineStr">
        <is>
          <t>Engines: MySQL, MS SQL Server, Oracle, PostgreSQL.</t>
        </is>
      </c>
    </row>
    <row r="32" ht="28.8" customHeight="1">
      <c r="A32" s="17" t="n">
        <v>7</v>
      </c>
      <c r="B32" s="18" t="inlineStr">
        <is>
          <t>Functions &amp; Aggregation</t>
        </is>
      </c>
      <c r="C32" s="18" t="inlineStr">
        <is>
          <t>Aggregate Functions</t>
        </is>
      </c>
      <c r="D32" s="17" t="inlineStr">
        <is>
          <t>Q1</t>
        </is>
      </c>
      <c r="E32" s="18" t="inlineStr">
        <is>
          <t>Revising Aggregations - The Count Function</t>
        </is>
      </c>
      <c r="F32" s="17" t="inlineStr">
        <is>
          <t>HackerRank</t>
        </is>
      </c>
      <c r="G32" s="18" t="inlineStr">
        <is>
          <t>Easy (HackerRank: Easy)</t>
        </is>
      </c>
      <c r="H32" s="19" t="str">
        <f>HYPERLINK("https://www.hackerrank.com/challenges/revising-aggregations-the-count-function/problem","https://www.hackerrank.com/challenges/revising-aggregations-the-count-function/problem")</f>
        <v>https://www.hackerrank.com/challenges/revising-aggregations-the-count-function/problem</v>
      </c>
      <c r="I32" s="18" t="inlineStr">
        <is>
          <t>Yes – free; free HackerRank account to submit</t>
        </is>
      </c>
      <c r="J32" s="18" t="inlineStr">
        <is>
          <t>COUNT() with WHERE</t>
        </is>
      </c>
      <c r="K32" s="18" t="inlineStr">
        <is>
          <t>T3 WHERE</t>
        </is>
      </c>
      <c r="L32" s="18" t="inlineStr">
        <is>
          <t>Yes – SELECT COUNT(*) ... WHERE Population &gt; 100000</t>
        </is>
      </c>
      <c r="M32" s="18" t="inlineStr">
        <is>
          <t>Added (verified)</t>
        </is>
      </c>
      <c r="N32" s="17" t="str">
        <f>IF(M32="Added (verified)","Yes","No")</f>
        <v>Yes</v>
      </c>
      <c r="O32" s="17" t="inlineStr">
        <is>
          <t>E8</t>
        </is>
      </c>
      <c r="P32" s="18" t="inlineStr">
        <is>
          <t>Engines: MySQL, MS SQL Server, Oracle, DB2.</t>
        </is>
      </c>
    </row>
    <row r="33" ht="41.7" customHeight="1">
      <c r="A33" s="17" t="n">
        <v>7</v>
      </c>
      <c r="B33" s="18" t="inlineStr">
        <is>
          <t>Functions &amp; Aggregation</t>
        </is>
      </c>
      <c r="C33" s="18" t="inlineStr">
        <is>
          <t>Aggregate Functions</t>
        </is>
      </c>
      <c r="D33" s="17" t="inlineStr">
        <is>
          <t>Q2</t>
        </is>
      </c>
      <c r="E33" s="18" t="inlineStr">
        <is>
          <t>Fiction Collection Size (SQLPBP02)</t>
        </is>
      </c>
      <c r="F33" s="17" t="inlineStr">
        <is>
          <t>CodeChef</t>
        </is>
      </c>
      <c r="G33" s="18" t="inlineStr">
        <is>
          <t>Easy (CodeChef: easy)</t>
        </is>
      </c>
      <c r="H33" s="19" t="str">
        <f>HYPERLINK("https://www.codechef.com/practice/course/sql-case-studies-topic-wise/SQLBP01/problems/SQLPBP02","https://www.codechef.com/practice/course/sql-case-studies-topic-wise/SQLBP01/problems/SQLPBP02")</f>
        <v>https://www.codechef.com/practice/course/sql-case-studies-topic-wise/SQLBP01/problems/SQLPBP02</v>
      </c>
      <c r="I33" s="18" t="inlineStr">
        <is>
          <t>Yes – free (non-Pro) module of CodeChef 'SQL Practice Queries'; free account to submit</t>
        </is>
      </c>
      <c r="J33" s="18" t="inlineStr">
        <is>
          <t>COUNT() with WHERE and an alias</t>
        </is>
      </c>
      <c r="K33" s="18" t="inlineStr">
        <is>
          <t>T1 AS, T3 WHERE</t>
        </is>
      </c>
      <c r="L33" s="18" t="inlineStr">
        <is>
          <t>Yes – COUNT(*) AS fiction_count ... WHERE genre = 'Fiction'</t>
        </is>
      </c>
      <c r="M33" s="18" t="inlineStr">
        <is>
          <t>Added (verified)</t>
        </is>
      </c>
      <c r="N33" s="17" t="str">
        <f>IF(M33="Added (verified)","Yes","No")</f>
        <v>Yes</v>
      </c>
      <c r="O33" s="17" t="inlineStr">
        <is>
          <t>F8</t>
        </is>
      </c>
      <c r="P33" s="18" t="inlineStr">
        <is>
          <t>Module 'Practice Basic Commands'. MySQL syntax.</t>
        </is>
      </c>
    </row>
    <row r="34" ht="41.7" customHeight="1">
      <c r="A34" s="17" t="n">
        <v>7</v>
      </c>
      <c r="B34" s="18" t="inlineStr">
        <is>
          <t>Functions &amp; Aggregation</t>
        </is>
      </c>
      <c r="C34" s="18" t="inlineStr">
        <is>
          <t>Aggregate Functions</t>
        </is>
      </c>
      <c r="D34" s="17" t="inlineStr">
        <is>
          <t>Q3</t>
        </is>
      </c>
      <c r="E34" s="18" t="inlineStr">
        <is>
          <t>Average Salary (SQLPBP14)</t>
        </is>
      </c>
      <c r="F34" s="17" t="inlineStr">
        <is>
          <t>CodeChef</t>
        </is>
      </c>
      <c r="G34" s="18" t="inlineStr">
        <is>
          <t>Easy (CodeChef: easy)</t>
        </is>
      </c>
      <c r="H34" s="19" t="str">
        <f>HYPERLINK("https://www.codechef.com/practice/course/sql-case-studies-topic-wise/SQLBP01/problems/SQLPBP14","https://www.codechef.com/practice/course/sql-case-studies-topic-wise/SQLBP01/problems/SQLPBP14")</f>
        <v>https://www.codechef.com/practice/course/sql-case-studies-topic-wise/SQLBP01/problems/SQLPBP14</v>
      </c>
      <c r="I34" s="18" t="inlineStr">
        <is>
          <t>Yes – free (non-Pro) module of CodeChef 'SQL Practice Queries'; free account to submit</t>
        </is>
      </c>
      <c r="J34" s="18" t="inlineStr">
        <is>
          <t>AVG() over the whole table</t>
        </is>
      </c>
      <c r="K34" s="18" t="inlineStr">
        <is>
          <t>T1 AS</t>
        </is>
      </c>
      <c r="L34" s="18" t="inlineStr">
        <is>
          <t>Yes – SELECT AVG(salary) AS avg_salary FROM Works</t>
        </is>
      </c>
      <c r="M34" s="18" t="inlineStr">
        <is>
          <t>Added (verified)</t>
        </is>
      </c>
      <c r="N34" s="17" t="str">
        <f>IF(M34="Added (verified)","Yes","No")</f>
        <v>Yes</v>
      </c>
      <c r="O34" s="17" t="inlineStr">
        <is>
          <t>G8</t>
        </is>
      </c>
      <c r="P34" s="18" t="inlineStr">
        <is>
          <t>Module 'Practice Basic Commands'. MySQL syntax.</t>
        </is>
      </c>
    </row>
    <row r="35" ht="41.7" customHeight="1">
      <c r="A35" s="17" t="n">
        <v>7</v>
      </c>
      <c r="B35" s="18" t="inlineStr">
        <is>
          <t>Functions &amp; Aggregation</t>
        </is>
      </c>
      <c r="C35" s="18" t="inlineStr">
        <is>
          <t>Aggregate Functions</t>
        </is>
      </c>
      <c r="D35" s="17" t="inlineStr">
        <is>
          <t>Q4</t>
        </is>
      </c>
      <c r="E35" s="18" t="inlineStr">
        <is>
          <t>Problem - SUM() and AVG() (GSQ44)</t>
        </is>
      </c>
      <c r="F35" s="17" t="inlineStr">
        <is>
          <t>CodeChef</t>
        </is>
      </c>
      <c r="G35" s="18" t="inlineStr">
        <is>
          <t>Medium (CodeChef: easy)</t>
        </is>
      </c>
      <c r="H35" s="19" t="str">
        <f>HYPERLINK("https://www.codechef.com/learn/course/sql/SQ00LS09/problems/GSQ44","https://www.codechef.com/learn/course/sql/SQ00LS09/problems/GSQ44")</f>
        <v>https://www.codechef.com/learn/course/sql/SQ00LS09/problems/GSQ44</v>
      </c>
      <c r="I35" s="18" t="inlineStr">
        <is>
          <t>Yes – free (non-Pro) lesson of CodeChef 'Learn SQL'; free account to submit</t>
        </is>
      </c>
      <c r="J35" s="18" t="inlineStr">
        <is>
          <t>SUM() and AVG() with WHERE</t>
        </is>
      </c>
      <c r="K35" s="18" t="inlineStr">
        <is>
          <t>T1 AS, T3 WHERE</t>
        </is>
      </c>
      <c r="L35" s="18" t="inlineStr">
        <is>
          <t>Yes – two SELECTs using SUM / AVG with WHERE</t>
        </is>
      </c>
      <c r="M35" s="18" t="inlineStr">
        <is>
          <t>Added (verified)</t>
        </is>
      </c>
      <c r="N35" s="17" t="str">
        <f>IF(M35="Added (verified)","Yes","No")</f>
        <v>Yes</v>
      </c>
      <c r="O35" s="17" t="inlineStr">
        <is>
          <t>H8</t>
        </is>
      </c>
      <c r="P35" s="18" t="inlineStr">
        <is>
          <t>Runs on SQLite.</t>
        </is>
      </c>
    </row>
    <row r="36" ht="28.8" customHeight="1">
      <c r="A36" s="17" t="n">
        <v>7</v>
      </c>
      <c r="B36" s="18" t="inlineStr">
        <is>
          <t>Functions &amp; Aggregation</t>
        </is>
      </c>
      <c r="C36" s="18" t="inlineStr">
        <is>
          <t>Aggregate Functions</t>
        </is>
      </c>
      <c r="D36" s="17" t="inlineStr">
        <is>
          <t>Q5</t>
        </is>
      </c>
      <c r="E36" s="18" t="inlineStr">
        <is>
          <t>Population Density Difference</t>
        </is>
      </c>
      <c r="F36" s="17" t="inlineStr">
        <is>
          <t>HackerRank</t>
        </is>
      </c>
      <c r="G36" s="18" t="inlineStr">
        <is>
          <t>Medium (HackerRank: Easy)</t>
        </is>
      </c>
      <c r="H36" s="19" t="str">
        <f>HYPERLINK("https://www.hackerrank.com/challenges/population-density-difference/problem","https://www.hackerrank.com/challenges/population-density-difference/problem")</f>
        <v>https://www.hackerrank.com/challenges/population-density-difference/problem</v>
      </c>
      <c r="I36" s="18" t="inlineStr">
        <is>
          <t>Yes – free; free HackerRank account to submit</t>
        </is>
      </c>
      <c r="J36" s="18" t="inlineStr">
        <is>
          <t>Arithmetic on two aggregates (MAX − MIN)</t>
        </is>
      </c>
      <c r="K36" s="18" t="inlineStr">
        <is>
          <t>T1 SELECT</t>
        </is>
      </c>
      <c r="L36" s="18" t="inlineStr">
        <is>
          <t>Yes – SELECT MAX(Population) - MIN(Population)</t>
        </is>
      </c>
      <c r="M36" s="18" t="inlineStr">
        <is>
          <t>Added (verified)</t>
        </is>
      </c>
      <c r="N36" s="17" t="str">
        <f>IF(M36="Added (verified)","Yes","No")</f>
        <v>Yes</v>
      </c>
      <c r="O36" s="17" t="inlineStr">
        <is>
          <t>I8</t>
        </is>
      </c>
      <c r="P36" s="18" t="inlineStr">
        <is>
          <t>Engines: MySQL, MS SQL Server, Oracle, DB2.</t>
        </is>
      </c>
    </row>
    <row r="37" ht="28.8" customHeight="1">
      <c r="A37" s="17" t="n">
        <v>8</v>
      </c>
      <c r="B37" s="18" t="inlineStr">
        <is>
          <t>Functions &amp; Aggregation</t>
        </is>
      </c>
      <c r="C37" s="18" t="inlineStr">
        <is>
          <t>Numeric Functions</t>
        </is>
      </c>
      <c r="D37" s="17" t="inlineStr">
        <is>
          <t>Q1</t>
        </is>
      </c>
      <c r="E37" s="18" t="inlineStr">
        <is>
          <t>Weather Observation Station 3</t>
        </is>
      </c>
      <c r="F37" s="17" t="inlineStr">
        <is>
          <t>HackerRank</t>
        </is>
      </c>
      <c r="G37" s="18" t="inlineStr">
        <is>
          <t>Easy (HackerRank: Easy)</t>
        </is>
      </c>
      <c r="H37" s="19" t="str">
        <f>HYPERLINK("https://www.hackerrank.com/challenges/weather-observation-station-3/problem","https://www.hackerrank.com/challenges/weather-observation-station-3/problem")</f>
        <v>https://www.hackerrank.com/challenges/weather-observation-station-3/problem</v>
      </c>
      <c r="I37" s="18" t="inlineStr">
        <is>
          <t>Yes – free; free HackerRank account to submit</t>
        </is>
      </c>
      <c r="J37" s="18" t="inlineStr">
        <is>
          <t>MOD() / % to test even numbers</t>
        </is>
      </c>
      <c r="K37" s="18" t="inlineStr">
        <is>
          <t>T3 WHERE, T4 DISTINCT</t>
        </is>
      </c>
      <c r="L37" s="18" t="inlineStr">
        <is>
          <t>Yes – SELECT DISTINCT CITY ... WHERE MOD(ID, 2) = 0</t>
        </is>
      </c>
      <c r="M37" s="18" t="inlineStr">
        <is>
          <t>Added (verified)</t>
        </is>
      </c>
      <c r="N37" s="17" t="str">
        <f>IF(M37="Added (verified)","Yes","No")</f>
        <v>Yes</v>
      </c>
      <c r="O37" s="17" t="inlineStr">
        <is>
          <t>E9</t>
        </is>
      </c>
      <c r="P37" s="18" t="inlineStr">
        <is>
          <t>Engines: MySQL, MS SQL Server, Oracle, DB2.</t>
        </is>
      </c>
    </row>
    <row r="38" ht="41.7" customHeight="1">
      <c r="A38" s="17" t="n">
        <v>8</v>
      </c>
      <c r="B38" s="18" t="inlineStr">
        <is>
          <t>Functions &amp; Aggregation</t>
        </is>
      </c>
      <c r="C38" s="18" t="inlineStr">
        <is>
          <t>Numeric Functions</t>
        </is>
      </c>
      <c r="D38" s="17" t="inlineStr">
        <is>
          <t>Q2</t>
        </is>
      </c>
      <c r="E38" s="18" t="inlineStr">
        <is>
          <t>620. Not Boring Movies</t>
        </is>
      </c>
      <c r="F38" s="17" t="inlineStr">
        <is>
          <t>LeetCode</t>
        </is>
      </c>
      <c r="G38" s="18" t="inlineStr">
        <is>
          <t>Easy (LeetCode: Easy)</t>
        </is>
      </c>
      <c r="H38" s="19" t="str">
        <f>HYPERLINK("https://leetcode.com/problems/not-boring-movies/","https://leetcode.com/problems/not-boring-movies/")</f>
        <v>https://leetcode.com/problems/not-boring-movies/</v>
      </c>
      <c r="I38" s="18" t="inlineStr">
        <is>
          <t>Yes – free problem (not Premium); free LeetCode account to submit</t>
        </is>
      </c>
      <c r="J38" s="18" t="inlineStr">
        <is>
          <t>MOD() for odd ids + sorting</t>
        </is>
      </c>
      <c r="K38" s="18" t="inlineStr">
        <is>
          <t>T3 WHERE, T4 ORDER BY</t>
        </is>
      </c>
      <c r="L38" s="18" t="inlineStr">
        <is>
          <t>Yes – WHERE MOD(id, 2) = 1 AND description &lt;&gt; 'boring' ORDER BY rating DESC</t>
        </is>
      </c>
      <c r="M38" s="18" t="inlineStr">
        <is>
          <t>Added (verified)</t>
        </is>
      </c>
      <c r="N38" s="17" t="str">
        <f>IF(M38="Added (verified)","Yes","No")</f>
        <v>Yes</v>
      </c>
      <c r="O38" s="17" t="inlineStr">
        <is>
          <t>F9</t>
        </is>
      </c>
      <c r="P38" s="18" t="inlineStr">
        <is>
          <t>Engines: MySQL, MS SQL Server, Oracle, PostgreSQL.</t>
        </is>
      </c>
    </row>
    <row r="39" ht="41.7" customHeight="1">
      <c r="A39" s="17" t="n">
        <v>8</v>
      </c>
      <c r="B39" s="18" t="inlineStr">
        <is>
          <t>Functions &amp; Aggregation</t>
        </is>
      </c>
      <c r="C39" s="18" t="inlineStr">
        <is>
          <t>Numeric Functions</t>
        </is>
      </c>
      <c r="D39" s="17" t="inlineStr">
        <is>
          <t>Q3</t>
        </is>
      </c>
      <c r="E39" s="18" t="inlineStr">
        <is>
          <t>Problem-ROUND() (GSQ41)</t>
        </is>
      </c>
      <c r="F39" s="17" t="inlineStr">
        <is>
          <t>CodeChef</t>
        </is>
      </c>
      <c r="G39" s="18" t="inlineStr">
        <is>
          <t>Easy (CodeChef: easy)</t>
        </is>
      </c>
      <c r="H39" s="19" t="str">
        <f>HYPERLINK("https://www.codechef.com/learn/course/sql/SQ00LS08/problems/GSQ41","https://www.codechef.com/learn/course/sql/SQ00LS08/problems/GSQ41")</f>
        <v>https://www.codechef.com/learn/course/sql/SQ00LS08/problems/GSQ41</v>
      </c>
      <c r="I39" s="18" t="inlineStr">
        <is>
          <t>Yes – free (non-Pro) lesson of CodeChef 'Learn SQL'; free account to submit</t>
        </is>
      </c>
      <c r="J39" s="18" t="inlineStr">
        <is>
          <t>ROUND() to 2 decimal places</t>
        </is>
      </c>
      <c r="K39" s="18" t="inlineStr">
        <is>
          <t>T1 AS</t>
        </is>
      </c>
      <c r="L39" s="18" t="inlineStr">
        <is>
          <t>Yes – SELECT ROUND(Payout, 2) AS payout</t>
        </is>
      </c>
      <c r="M39" s="18" t="inlineStr">
        <is>
          <t>Added (verified)</t>
        </is>
      </c>
      <c r="N39" s="17" t="str">
        <f>IF(M39="Added (verified)","Yes","No")</f>
        <v>Yes</v>
      </c>
      <c r="O39" s="17" t="inlineStr">
        <is>
          <t>G9</t>
        </is>
      </c>
      <c r="P39" s="18" t="inlineStr">
        <is>
          <t>Runs on SQLite.</t>
        </is>
      </c>
    </row>
    <row r="40" ht="28.8" customHeight="1">
      <c r="A40" s="17" t="n">
        <v>8</v>
      </c>
      <c r="B40" s="18" t="inlineStr">
        <is>
          <t>Functions &amp; Aggregation</t>
        </is>
      </c>
      <c r="C40" s="18" t="inlineStr">
        <is>
          <t>Numeric Functions</t>
        </is>
      </c>
      <c r="D40" s="17" t="inlineStr">
        <is>
          <t>Q4</t>
        </is>
      </c>
      <c r="E40" s="18" t="inlineStr">
        <is>
          <t>The Blunder</t>
        </is>
      </c>
      <c r="F40" s="17" t="inlineStr">
        <is>
          <t>HackerRank</t>
        </is>
      </c>
      <c r="G40" s="18" t="inlineStr">
        <is>
          <t>Medium (HackerRank: Easy)</t>
        </is>
      </c>
      <c r="H40" s="19" t="str">
        <f>HYPERLINK("https://www.hackerrank.com/challenges/the-blunder/problem","https://www.hackerrank.com/challenges/the-blunder/problem")</f>
        <v>https://www.hackerrank.com/challenges/the-blunder/problem</v>
      </c>
      <c r="I40" s="18" t="inlineStr">
        <is>
          <t>Yes – free; free HackerRank account to submit</t>
        </is>
      </c>
      <c r="J40" s="18" t="inlineStr">
        <is>
          <t>CEIL() of a difference of averages</t>
        </is>
      </c>
      <c r="K40" s="18" t="inlineStr">
        <is>
          <t>T6 REPLACE, T7 AVG</t>
        </is>
      </c>
      <c r="L40" s="18" t="inlineStr">
        <is>
          <t>Yes – CEIL(AVG(Salary) - AVG(REPLACE(Salary, '0', '')))</t>
        </is>
      </c>
      <c r="M40" s="18" t="inlineStr">
        <is>
          <t>Added (verified)</t>
        </is>
      </c>
      <c r="N40" s="17" t="str">
        <f>IF(M40="Added (verified)","Yes","No")</f>
        <v>Yes</v>
      </c>
      <c r="O40" s="17" t="inlineStr">
        <is>
          <t>H9</t>
        </is>
      </c>
      <c r="P40" s="18" t="inlineStr">
        <is>
          <t>Engines: MySQL, MS SQL Server, Oracle, DB2.</t>
        </is>
      </c>
    </row>
    <row r="41" ht="28.8" customHeight="1">
      <c r="A41" s="17" t="n">
        <v>8</v>
      </c>
      <c r="B41" s="18" t="inlineStr">
        <is>
          <t>Functions &amp; Aggregation</t>
        </is>
      </c>
      <c r="C41" s="18" t="inlineStr">
        <is>
          <t>Numeric Functions</t>
        </is>
      </c>
      <c r="D41" s="17" t="inlineStr">
        <is>
          <t>Q5</t>
        </is>
      </c>
      <c r="E41" s="18" t="inlineStr">
        <is>
          <t>Weather Observation Station 19</t>
        </is>
      </c>
      <c r="F41" s="17" t="inlineStr">
        <is>
          <t>HackerRank</t>
        </is>
      </c>
      <c r="G41" s="18" t="inlineStr">
        <is>
          <t>Challenging (HackerRank: Medium)</t>
        </is>
      </c>
      <c r="H41" s="19" t="str">
        <f>HYPERLINK("https://www.hackerrank.com/challenges/weather-observation-station-19/problem","https://www.hackerrank.com/challenges/weather-observation-station-19/problem")</f>
        <v>https://www.hackerrank.com/challenges/weather-observation-station-19/problem</v>
      </c>
      <c r="I41" s="18" t="inlineStr">
        <is>
          <t>Yes – free; free HackerRank account to submit</t>
        </is>
      </c>
      <c r="J41" s="18" t="inlineStr">
        <is>
          <t>SQRT / POWER (Euclidean distance) + ROUND</t>
        </is>
      </c>
      <c r="K41" s="18" t="inlineStr">
        <is>
          <t>T7 MIN / MAX</t>
        </is>
      </c>
      <c r="L41" s="18" t="inlineStr">
        <is>
          <t>Yes – ROUND(SQRT(POWER(MAX-MIN, 2) + POWER(MAX-MIN, 2)), 4)</t>
        </is>
      </c>
      <c r="M41" s="18" t="inlineStr">
        <is>
          <t>Added (verified)</t>
        </is>
      </c>
      <c r="N41" s="17" t="str">
        <f>IF(M41="Added (verified)","Yes","No")</f>
        <v>Yes</v>
      </c>
      <c r="O41" s="17" t="inlineStr">
        <is>
          <t>I9</t>
        </is>
      </c>
      <c r="P41" s="18" t="inlineStr">
        <is>
          <t>Engines: MySQL, MS SQL Server, Oracle, DB2.</t>
        </is>
      </c>
    </row>
    <row r="42" ht="41.7" customHeight="1">
      <c r="A42" s="17" t="n">
        <v>9</v>
      </c>
      <c r="B42" s="18" t="inlineStr">
        <is>
          <t>Functions &amp; Aggregation</t>
        </is>
      </c>
      <c r="C42" s="18" t="inlineStr">
        <is>
          <t>GROUP BY</t>
        </is>
      </c>
      <c r="D42" s="17" t="inlineStr">
        <is>
          <t>Q1</t>
        </is>
      </c>
      <c r="E42" s="18" t="inlineStr">
        <is>
          <t>2356. Number of Unique Subjects Taught by Each Teacher</t>
        </is>
      </c>
      <c r="F42" s="17" t="inlineStr">
        <is>
          <t>LeetCode</t>
        </is>
      </c>
      <c r="G42" s="18" t="inlineStr">
        <is>
          <t>Easy (LeetCode: Easy)</t>
        </is>
      </c>
      <c r="H42" s="19" t="str">
        <f>HYPERLINK("https://leetcode.com/problems/number-of-unique-subjects-taught-by-each-teacher/","https://leetcode.com/problems/number-of-unique-subjects-taught-by-each-teacher/")</f>
        <v>https://leetcode.com/problems/number-of-unique-subjects-taught-by-each-teacher/</v>
      </c>
      <c r="I42" s="18" t="inlineStr">
        <is>
          <t>Yes – free problem (not Premium); free LeetCode account to submit</t>
        </is>
      </c>
      <c r="J42" s="18" t="inlineStr">
        <is>
          <t>GROUP BY with COUNT(DISTINCT)</t>
        </is>
      </c>
      <c r="K42" s="18" t="inlineStr">
        <is>
          <t>T4 DISTINCT, T7 COUNT</t>
        </is>
      </c>
      <c r="L42" s="18" t="inlineStr">
        <is>
          <t>Yes – COUNT(DISTINCT subject_id) ... GROUP BY teacher_id</t>
        </is>
      </c>
      <c r="M42" s="18" t="inlineStr">
        <is>
          <t>Added (verified)</t>
        </is>
      </c>
      <c r="N42" s="17" t="str">
        <f>IF(M42="Added (verified)","Yes","No")</f>
        <v>Yes</v>
      </c>
      <c r="O42" s="17" t="inlineStr">
        <is>
          <t>E10</t>
        </is>
      </c>
      <c r="P42" s="18" t="inlineStr">
        <is>
          <t>Engines: MySQL, MS SQL Server, Oracle, PostgreSQL.</t>
        </is>
      </c>
    </row>
    <row r="43" ht="41.7" customHeight="1">
      <c r="A43" s="17" t="n">
        <v>9</v>
      </c>
      <c r="B43" s="18" t="inlineStr">
        <is>
          <t>Functions &amp; Aggregation</t>
        </is>
      </c>
      <c r="C43" s="18" t="inlineStr">
        <is>
          <t>GROUP BY</t>
        </is>
      </c>
      <c r="D43" s="17" t="inlineStr">
        <is>
          <t>Q2</t>
        </is>
      </c>
      <c r="E43" s="18" t="inlineStr">
        <is>
          <t>Department of Each Employee (SQLPBP09)</t>
        </is>
      </c>
      <c r="F43" s="17" t="inlineStr">
        <is>
          <t>CodeChef</t>
        </is>
      </c>
      <c r="G43" s="18" t="inlineStr">
        <is>
          <t>Easy (CodeChef: easy)</t>
        </is>
      </c>
      <c r="H43" s="19" t="str">
        <f>HYPERLINK("https://www.codechef.com/practice/course/sql-case-studies-topic-wise/SQLBP01/problems/SQLPBP09","https://www.codechef.com/practice/course/sql-case-studies-topic-wise/SQLBP01/problems/SQLPBP09")</f>
        <v>https://www.codechef.com/practice/course/sql-case-studies-topic-wise/SQLBP01/problems/SQLPBP09</v>
      </c>
      <c r="I43" s="18" t="inlineStr">
        <is>
          <t>Yes – free (non-Pro) module of CodeChef 'SQL Practice Queries'; free account to submit</t>
        </is>
      </c>
      <c r="J43" s="18" t="inlineStr">
        <is>
          <t>GROUP BY with COUNT</t>
        </is>
      </c>
      <c r="K43" s="18" t="inlineStr">
        <is>
          <t>T1 AS, T7 COUNT</t>
        </is>
      </c>
      <c r="L43" s="18" t="inlineStr">
        <is>
          <t>Yes – SELECT department, COUNT(*) AS total_employees ... GROUP BY department</t>
        </is>
      </c>
      <c r="M43" s="18" t="inlineStr">
        <is>
          <t>Added (verified)</t>
        </is>
      </c>
      <c r="N43" s="17" t="str">
        <f>IF(M43="Added (verified)","Yes","No")</f>
        <v>Yes</v>
      </c>
      <c r="O43" s="17" t="inlineStr">
        <is>
          <t>F10</t>
        </is>
      </c>
      <c r="P43" s="18" t="inlineStr">
        <is>
          <t>Module 'Practice Basic Commands'. MySQL syntax.</t>
        </is>
      </c>
    </row>
    <row r="44" ht="41.7" customHeight="1">
      <c r="A44" s="17" t="n">
        <v>9</v>
      </c>
      <c r="B44" s="18" t="inlineStr">
        <is>
          <t>Functions &amp; Aggregation</t>
        </is>
      </c>
      <c r="C44" s="18" t="inlineStr">
        <is>
          <t>GROUP BY</t>
        </is>
      </c>
      <c r="D44" s="17" t="inlineStr">
        <is>
          <t>Q3</t>
        </is>
      </c>
      <c r="E44" s="18" t="inlineStr">
        <is>
          <t>1741. Find Total Time Spent by Each Employee</t>
        </is>
      </c>
      <c r="F44" s="17" t="inlineStr">
        <is>
          <t>LeetCode</t>
        </is>
      </c>
      <c r="G44" s="18" t="inlineStr">
        <is>
          <t>Easy (LeetCode: Easy)</t>
        </is>
      </c>
      <c r="H44" s="19" t="str">
        <f>HYPERLINK("https://leetcode.com/problems/find-total-time-spent-by-each-employee/","https://leetcode.com/problems/find-total-time-spent-by-each-employee/")</f>
        <v>https://leetcode.com/problems/find-total-time-spent-by-each-employee/</v>
      </c>
      <c r="I44" s="18" t="inlineStr">
        <is>
          <t>Yes – free problem (not Premium); free LeetCode account to submit</t>
        </is>
      </c>
      <c r="J44" s="18" t="inlineStr">
        <is>
          <t>GROUP BY two columns with SUM of an expression</t>
        </is>
      </c>
      <c r="K44" s="18" t="inlineStr">
        <is>
          <t>T1 AS, T7 SUM</t>
        </is>
      </c>
      <c r="L44" s="18" t="inlineStr">
        <is>
          <t>Yes – SUM(out_time - in_time) ... GROUP BY event_day, emp_id</t>
        </is>
      </c>
      <c r="M44" s="18" t="inlineStr">
        <is>
          <t>Added (verified)</t>
        </is>
      </c>
      <c r="N44" s="17" t="str">
        <f>IF(M44="Added (verified)","Yes","No")</f>
        <v>Yes</v>
      </c>
      <c r="O44" s="17" t="inlineStr">
        <is>
          <t>G10</t>
        </is>
      </c>
      <c r="P44" s="18" t="inlineStr">
        <is>
          <t>Engines: MySQL, MS SQL Server, Oracle, PostgreSQL.</t>
        </is>
      </c>
    </row>
    <row r="45" ht="41.7" customHeight="1">
      <c r="A45" s="17" t="n">
        <v>9</v>
      </c>
      <c r="B45" s="18" t="inlineStr">
        <is>
          <t>Functions &amp; Aggregation</t>
        </is>
      </c>
      <c r="C45" s="18" t="inlineStr">
        <is>
          <t>GROUP BY</t>
        </is>
      </c>
      <c r="D45" s="17" t="inlineStr">
        <is>
          <t>Q4</t>
        </is>
      </c>
      <c r="E45" s="18" t="inlineStr">
        <is>
          <t>1484. Group Sold Products By The Date</t>
        </is>
      </c>
      <c r="F45" s="17" t="inlineStr">
        <is>
          <t>LeetCode</t>
        </is>
      </c>
      <c r="G45" s="18" t="inlineStr">
        <is>
          <t>Medium (LeetCode: Easy)</t>
        </is>
      </c>
      <c r="H45" s="19" t="str">
        <f>HYPERLINK("https://leetcode.com/problems/group-sold-products-by-the-date/","https://leetcode.com/problems/group-sold-products-by-the-date/")</f>
        <v>https://leetcode.com/problems/group-sold-products-by-the-date/</v>
      </c>
      <c r="I45" s="18" t="inlineStr">
        <is>
          <t>Yes – free problem (not Premium); free LeetCode account to submit</t>
        </is>
      </c>
      <c r="J45" s="18" t="inlineStr">
        <is>
          <t>GROUP BY with COUNT(DISTINCT) and GROUP_CONCAT / STRING_AGG</t>
        </is>
      </c>
      <c r="K45" s="18" t="inlineStr">
        <is>
          <t>T4 DISTINCT / ORDER BY, T7</t>
        </is>
      </c>
      <c r="L45" s="18" t="inlineStr">
        <is>
          <t>Yes – COUNT(DISTINCT product), GROUP_CONCAT(DISTINCT product ORDER BY product) ... GROUP BY sell_date</t>
        </is>
      </c>
      <c r="M45" s="18" t="inlineStr">
        <is>
          <t>Added (verified)</t>
        </is>
      </c>
      <c r="N45" s="17" t="str">
        <f>IF(M45="Added (verified)","Yes","No")</f>
        <v>Yes</v>
      </c>
      <c r="O45" s="17" t="inlineStr">
        <is>
          <t>H10</t>
        </is>
      </c>
      <c r="P45" s="18" t="inlineStr">
        <is>
          <t>Engines: MySQL, MS SQL Server, Oracle, PostgreSQL.</t>
        </is>
      </c>
    </row>
    <row r="46" ht="28.8" customHeight="1">
      <c r="A46" s="17" t="n">
        <v>9</v>
      </c>
      <c r="B46" s="18" t="inlineStr">
        <is>
          <t>Functions &amp; Aggregation</t>
        </is>
      </c>
      <c r="C46" s="18" t="inlineStr">
        <is>
          <t>GROUP BY</t>
        </is>
      </c>
      <c r="D46" s="17" t="inlineStr">
        <is>
          <t>Q5</t>
        </is>
      </c>
      <c r="E46" s="18" t="inlineStr">
        <is>
          <t>The PADS</t>
        </is>
      </c>
      <c r="F46" s="17" t="inlineStr">
        <is>
          <t>HackerRank</t>
        </is>
      </c>
      <c r="G46" s="18" t="inlineStr">
        <is>
          <t>Challenging (HackerRank: Medium)</t>
        </is>
      </c>
      <c r="H46" s="19" t="str">
        <f>HYPERLINK("https://www.hackerrank.com/challenges/the-pads/problem","https://www.hackerrank.com/challenges/the-pads/problem")</f>
        <v>https://www.hackerrank.com/challenges/the-pads/problem</v>
      </c>
      <c r="I46" s="18" t="inlineStr">
        <is>
          <t>Yes – free; free HackerRank account to submit</t>
        </is>
      </c>
      <c r="J46" s="18" t="inlineStr">
        <is>
          <t>GROUP BY + COUNT combined with string building</t>
        </is>
      </c>
      <c r="K46" s="18" t="inlineStr">
        <is>
          <t>T4 ORDER BY, T6 CONCAT / LEFT / LOWER, T7 COUNT</t>
        </is>
      </c>
      <c r="L46" s="18" t="inlineStr">
        <is>
          <t>Yes – two SELECTs: CONCAT(...) ORDER BY Name; COUNT(*) ... GROUP BY Occupation ORDER BY the count</t>
        </is>
      </c>
      <c r="M46" s="18" t="inlineStr">
        <is>
          <t>Added (verified)</t>
        </is>
      </c>
      <c r="N46" s="17" t="str">
        <f>IF(M46="Added (verified)","Yes","No")</f>
        <v>Yes</v>
      </c>
      <c r="O46" s="17" t="inlineStr">
        <is>
          <t>I10</t>
        </is>
      </c>
      <c r="P46" s="18" t="inlineStr">
        <is>
          <t>Engines: MySQL, MS SQL Server, Oracle, DB2.</t>
        </is>
      </c>
    </row>
    <row r="47" ht="41.7" customHeight="1">
      <c r="A47" s="17" t="n">
        <v>10</v>
      </c>
      <c r="B47" s="18" t="inlineStr">
        <is>
          <t>Functions &amp; Aggregation</t>
        </is>
      </c>
      <c r="C47" s="18" t="inlineStr">
        <is>
          <t>HAVING</t>
        </is>
      </c>
      <c r="D47" s="17" t="inlineStr">
        <is>
          <t>Q1</t>
        </is>
      </c>
      <c r="E47" s="18" t="inlineStr">
        <is>
          <t>182. Duplicate Emails</t>
        </is>
      </c>
      <c r="F47" s="17" t="inlineStr">
        <is>
          <t>LeetCode</t>
        </is>
      </c>
      <c r="G47" s="18" t="inlineStr">
        <is>
          <t>Easy (LeetCode: Easy)</t>
        </is>
      </c>
      <c r="H47" s="19" t="str">
        <f>HYPERLINK("https://leetcode.com/problems/duplicate-emails/","https://leetcode.com/problems/duplicate-emails/")</f>
        <v>https://leetcode.com/problems/duplicate-emails/</v>
      </c>
      <c r="I47" s="18" t="inlineStr">
        <is>
          <t>Yes – free problem (not Premium); free LeetCode account to submit</t>
        </is>
      </c>
      <c r="J47" s="18" t="inlineStr">
        <is>
          <t>GROUP BY ... HAVING COUNT(*) &gt; 1</t>
        </is>
      </c>
      <c r="K47" s="18" t="inlineStr">
        <is>
          <t>T9 GROUP BY</t>
        </is>
      </c>
      <c r="L47" s="18" t="inlineStr">
        <is>
          <t>Yes – GROUP BY email HAVING COUNT(*) &gt; 1</t>
        </is>
      </c>
      <c r="M47" s="18" t="inlineStr">
        <is>
          <t>Added (verified)</t>
        </is>
      </c>
      <c r="N47" s="17" t="str">
        <f>IF(M47="Added (verified)","Yes","No")</f>
        <v>Yes</v>
      </c>
      <c r="O47" s="17" t="inlineStr">
        <is>
          <t>E11</t>
        </is>
      </c>
      <c r="P47" s="18" t="inlineStr">
        <is>
          <t>Engines: MySQL, MS SQL Server, Oracle, PostgreSQL.</t>
        </is>
      </c>
    </row>
    <row r="48" ht="41.7" customHeight="1">
      <c r="A48" s="17" t="n">
        <v>10</v>
      </c>
      <c r="B48" s="18" t="inlineStr">
        <is>
          <t>Functions &amp; Aggregation</t>
        </is>
      </c>
      <c r="C48" s="18" t="inlineStr">
        <is>
          <t>HAVING</t>
        </is>
      </c>
      <c r="D48" s="17" t="inlineStr">
        <is>
          <t>Q2</t>
        </is>
      </c>
      <c r="E48" s="18" t="inlineStr">
        <is>
          <t>596. Classes With at Least 5 Students</t>
        </is>
      </c>
      <c r="F48" s="17" t="inlineStr">
        <is>
          <t>LeetCode</t>
        </is>
      </c>
      <c r="G48" s="18" t="inlineStr">
        <is>
          <t>Easy (LeetCode: Easy)</t>
        </is>
      </c>
      <c r="H48" s="19" t="str">
        <f>HYPERLINK("https://leetcode.com/problems/classes-with-at-least-5-students/","https://leetcode.com/problems/classes-with-at-least-5-students/")</f>
        <v>https://leetcode.com/problems/classes-with-at-least-5-students/</v>
      </c>
      <c r="I48" s="18" t="inlineStr">
        <is>
          <t>Yes – free problem (not Premium); free LeetCode account to submit</t>
        </is>
      </c>
      <c r="J48" s="18" t="inlineStr">
        <is>
          <t>HAVING with a count threshold</t>
        </is>
      </c>
      <c r="K48" s="18" t="inlineStr">
        <is>
          <t>T9 GROUP BY</t>
        </is>
      </c>
      <c r="L48" s="18" t="inlineStr">
        <is>
          <t>Yes – GROUP BY class HAVING COUNT(student) &gt;= 5</t>
        </is>
      </c>
      <c r="M48" s="18" t="inlineStr">
        <is>
          <t>Added (verified)</t>
        </is>
      </c>
      <c r="N48" s="17" t="str">
        <f>IF(M48="Added (verified)","Yes","No")</f>
        <v>Yes</v>
      </c>
      <c r="O48" s="17" t="inlineStr">
        <is>
          <t>F11</t>
        </is>
      </c>
      <c r="P48" s="18" t="inlineStr">
        <is>
          <t>Engines: MySQL, MS SQL Server, Oracle, PostgreSQL.</t>
        </is>
      </c>
    </row>
    <row r="49" ht="41.7" customHeight="1">
      <c r="A49" s="17" t="n">
        <v>10</v>
      </c>
      <c r="B49" s="18" t="inlineStr">
        <is>
          <t>Functions &amp; Aggregation</t>
        </is>
      </c>
      <c r="C49" s="18" t="inlineStr">
        <is>
          <t>HAVING</t>
        </is>
      </c>
      <c r="D49" s="17" t="inlineStr">
        <is>
          <t>Q3</t>
        </is>
      </c>
      <c r="E49" s="18" t="inlineStr">
        <is>
          <t>Having (GSQ46)</t>
        </is>
      </c>
      <c r="F49" s="17" t="inlineStr">
        <is>
          <t>CodeChef</t>
        </is>
      </c>
      <c r="G49" s="18" t="inlineStr">
        <is>
          <t>Medium (CodeChef: medium)</t>
        </is>
      </c>
      <c r="H49" s="19" t="str">
        <f>HYPERLINK("https://www.codechef.com/learn/course/sql/SQ00LS09/problems/GSQ46","https://www.codechef.com/learn/course/sql/SQ00LS09/problems/GSQ46")</f>
        <v>https://www.codechef.com/learn/course/sql/SQ00LS09/problems/GSQ46</v>
      </c>
      <c r="I49" s="18" t="inlineStr">
        <is>
          <t>Yes – free (non-Pro) lesson of CodeChef 'Learn SQL'; free account to submit</t>
        </is>
      </c>
      <c r="J49" s="18" t="inlineStr">
        <is>
          <t>HAVING on COUNT while selecting AVG</t>
        </is>
      </c>
      <c r="K49" s="18" t="inlineStr">
        <is>
          <t>T7 AVG, T9 GROUP BY</t>
        </is>
      </c>
      <c r="L49" s="18" t="inlineStr">
        <is>
          <t>Yes – AVG(Payout) ... GROUP BY Department HAVING COUNT(*) &gt; 3</t>
        </is>
      </c>
      <c r="M49" s="18" t="inlineStr">
        <is>
          <t>Added (verified)</t>
        </is>
      </c>
      <c r="N49" s="17" t="str">
        <f>IF(M49="Added (verified)","Yes","No")</f>
        <v>Yes</v>
      </c>
      <c r="O49" s="17" t="inlineStr">
        <is>
          <t>G11</t>
        </is>
      </c>
      <c r="P49" s="18" t="inlineStr">
        <is>
          <t>Runs on SQLite.</t>
        </is>
      </c>
    </row>
    <row r="50" ht="41.7" customHeight="1">
      <c r="A50" s="17" t="n">
        <v>10</v>
      </c>
      <c r="B50" s="18" t="inlineStr">
        <is>
          <t>Functions &amp; Aggregation</t>
        </is>
      </c>
      <c r="C50" s="18" t="inlineStr">
        <is>
          <t>HAVING</t>
        </is>
      </c>
      <c r="D50" s="17" t="inlineStr">
        <is>
          <t>Q4</t>
        </is>
      </c>
      <c r="E50" s="18" t="inlineStr">
        <is>
          <t>1050. Actors and Directors Who Cooperated At Least Three Times</t>
        </is>
      </c>
      <c r="F50" s="17" t="inlineStr">
        <is>
          <t>LeetCode</t>
        </is>
      </c>
      <c r="G50" s="18" t="inlineStr">
        <is>
          <t>Medium (LeetCode: Easy)</t>
        </is>
      </c>
      <c r="H50" s="19" t="str">
        <f>HYPERLINK("https://leetcode.com/problems/actors-and-directors-who-cooperated-at-least-three-times/","https://leetcode.com/problems/actors-and-directors-who-cooperated-at-least-three-times/")</f>
        <v>https://leetcode.com/problems/actors-and-directors-who-cooperated-at-least-three-times/</v>
      </c>
      <c r="I50" s="18" t="inlineStr">
        <is>
          <t>Yes – free problem (not Premium); free LeetCode account to submit</t>
        </is>
      </c>
      <c r="J50" s="18" t="inlineStr">
        <is>
          <t>HAVING on a two-column group</t>
        </is>
      </c>
      <c r="K50" s="18" t="inlineStr">
        <is>
          <t>T9 GROUP BY</t>
        </is>
      </c>
      <c r="L50" s="18" t="inlineStr">
        <is>
          <t>Yes – GROUP BY actor_id, director_id HAVING COUNT(*) &gt;= 3</t>
        </is>
      </c>
      <c r="M50" s="18" t="inlineStr">
        <is>
          <t>Added (verified)</t>
        </is>
      </c>
      <c r="N50" s="17" t="str">
        <f>IF(M50="Added (verified)","Yes","No")</f>
        <v>Yes</v>
      </c>
      <c r="O50" s="17" t="inlineStr">
        <is>
          <t>H11</t>
        </is>
      </c>
      <c r="P50" s="18" t="inlineStr">
        <is>
          <t>Engines: MySQL, MS SQL Server, Oracle, PostgreSQL.</t>
        </is>
      </c>
    </row>
    <row r="51" ht="41.7" customHeight="1">
      <c r="A51" s="17" t="n">
        <v>10</v>
      </c>
      <c r="B51" s="18" t="inlineStr">
        <is>
          <t>Functions &amp; Aggregation</t>
        </is>
      </c>
      <c r="C51" s="18" t="inlineStr">
        <is>
          <t>HAVING</t>
        </is>
      </c>
      <c r="D51" s="17" t="inlineStr">
        <is>
          <t>Q5</t>
        </is>
      </c>
      <c r="E51" s="18" t="inlineStr">
        <is>
          <t>Problem-Group By &amp; Having (GSQ47)</t>
        </is>
      </c>
      <c r="F51" s="17" t="inlineStr">
        <is>
          <t>CodeChef</t>
        </is>
      </c>
      <c r="G51" s="18" t="inlineStr">
        <is>
          <t>Challenging (CodeChef: medium)</t>
        </is>
      </c>
      <c r="H51" s="19" t="str">
        <f>HYPERLINK("https://www.codechef.com/learn/course/sql/SQ00LS09/problems/GSQ47","https://www.codechef.com/learn/course/sql/SQ00LS09/problems/GSQ47")</f>
        <v>https://www.codechef.com/learn/course/sql/SQ00LS09/problems/GSQ47</v>
      </c>
      <c r="I51" s="18" t="inlineStr">
        <is>
          <t>Yes – free (non-Pro) lesson of CodeChef 'Learn SQL'; free account to submit</t>
        </is>
      </c>
      <c r="J51" s="18" t="inlineStr">
        <is>
          <t>HAVING on SUM while selecting AVG</t>
        </is>
      </c>
      <c r="K51" s="18" t="inlineStr">
        <is>
          <t>T7 SUM / AVG, T9 GROUP BY</t>
        </is>
      </c>
      <c r="L51" s="18" t="inlineStr">
        <is>
          <t>Yes – AVG(Payout) ... GROUP BY Department HAVING SUM(Payout) &gt; 40</t>
        </is>
      </c>
      <c r="M51" s="18" t="inlineStr">
        <is>
          <t>Added (verified)</t>
        </is>
      </c>
      <c r="N51" s="17" t="str">
        <f>IF(M51="Added (verified)","Yes","No")</f>
        <v>Yes</v>
      </c>
      <c r="O51" s="17" t="inlineStr">
        <is>
          <t>I11</t>
        </is>
      </c>
      <c r="P51" s="18" t="inlineStr">
        <is>
          <t>Runs on SQLite.</t>
        </is>
      </c>
    </row>
    <row r="52" ht="28.8" customHeight="1">
      <c r="A52" s="17" t="n">
        <v>11</v>
      </c>
      <c r="B52" s="18" t="inlineStr">
        <is>
          <t>Conditional Logic &amp; Dates</t>
        </is>
      </c>
      <c r="C52" s="18" t="inlineStr">
        <is>
          <t>CASE Expressions</t>
        </is>
      </c>
      <c r="D52" s="17" t="inlineStr">
        <is>
          <t>Q1</t>
        </is>
      </c>
      <c r="E52" s="18" t="inlineStr">
        <is>
          <t>Type of Triangle</t>
        </is>
      </c>
      <c r="F52" s="17" t="inlineStr">
        <is>
          <t>HackerRank</t>
        </is>
      </c>
      <c r="G52" s="18" t="inlineStr">
        <is>
          <t>Easy (HackerRank: Easy)</t>
        </is>
      </c>
      <c r="H52" s="19" t="str">
        <f>HYPERLINK("https://www.hackerrank.com/challenges/what-type-of-triangle/problem","https://www.hackerrank.com/challenges/what-type-of-triangle/problem")</f>
        <v>https://www.hackerrank.com/challenges/what-type-of-triangle/problem</v>
      </c>
      <c r="I52" s="18" t="inlineStr">
        <is>
          <t>Yes – free; free HackerRank account to submit</t>
        </is>
      </c>
      <c r="J52" s="18" t="inlineStr">
        <is>
          <t>Searched CASE with ordered conditions</t>
        </is>
      </c>
      <c r="K52" s="18" t="inlineStr">
        <is>
          <t>T3 comparisons</t>
        </is>
      </c>
      <c r="L52" s="18" t="inlineStr">
        <is>
          <t>Yes – CASE WHEN A + B &lt;= C ... THEN 'Not A Triangle' WHEN ... END</t>
        </is>
      </c>
      <c r="M52" s="18" t="inlineStr">
        <is>
          <t>Added (verified)</t>
        </is>
      </c>
      <c r="N52" s="17" t="str">
        <f>IF(M52="Added (verified)","Yes","No")</f>
        <v>Yes</v>
      </c>
      <c r="O52" s="17" t="inlineStr">
        <is>
          <t>E12</t>
        </is>
      </c>
      <c r="P52" s="18" t="inlineStr">
        <is>
          <t>Engines: MySQL, MS SQL Server, Oracle, DB2.</t>
        </is>
      </c>
    </row>
    <row r="53" ht="41.7" customHeight="1">
      <c r="A53" s="17" t="n">
        <v>11</v>
      </c>
      <c r="B53" s="18" t="inlineStr">
        <is>
          <t>Conditional Logic &amp; Dates</t>
        </is>
      </c>
      <c r="C53" s="18" t="inlineStr">
        <is>
          <t>CASE Expressions</t>
        </is>
      </c>
      <c r="D53" s="17" t="inlineStr">
        <is>
          <t>Q2</t>
        </is>
      </c>
      <c r="E53" s="18" t="inlineStr">
        <is>
          <t>610. Triangle Judgement</t>
        </is>
      </c>
      <c r="F53" s="17" t="inlineStr">
        <is>
          <t>LeetCode</t>
        </is>
      </c>
      <c r="G53" s="18" t="inlineStr">
        <is>
          <t>Easy (LeetCode: Easy)</t>
        </is>
      </c>
      <c r="H53" s="19" t="str">
        <f>HYPERLINK("https://leetcode.com/problems/triangle-judgement/","https://leetcode.com/problems/triangle-judgement/")</f>
        <v>https://leetcode.com/problems/triangle-judgement/</v>
      </c>
      <c r="I53" s="18" t="inlineStr">
        <is>
          <t>Yes – free problem (not Premium); free LeetCode account to submit</t>
        </is>
      </c>
      <c r="J53" s="18" t="inlineStr">
        <is>
          <t>CASE returning 'Yes' / 'No'</t>
        </is>
      </c>
      <c r="K53" s="18" t="inlineStr">
        <is>
          <t>T3 comparisons</t>
        </is>
      </c>
      <c r="L53" s="18" t="inlineStr">
        <is>
          <t>Yes – CASE WHEN x + y &gt; z AND ... THEN 'Yes' ELSE 'No' END</t>
        </is>
      </c>
      <c r="M53" s="18" t="inlineStr">
        <is>
          <t>Added (verified)</t>
        </is>
      </c>
      <c r="N53" s="17" t="str">
        <f>IF(M53="Added (verified)","Yes","No")</f>
        <v>Yes</v>
      </c>
      <c r="O53" s="17" t="inlineStr">
        <is>
          <t>F12</t>
        </is>
      </c>
      <c r="P53" s="18" t="inlineStr">
        <is>
          <t>Engines: MySQL, MS SQL Server, Oracle, PostgreSQL.</t>
        </is>
      </c>
    </row>
    <row r="54" ht="41.7" customHeight="1">
      <c r="A54" s="17" t="n">
        <v>11</v>
      </c>
      <c r="B54" s="18" t="inlineStr">
        <is>
          <t>Conditional Logic &amp; Dates</t>
        </is>
      </c>
      <c r="C54" s="18" t="inlineStr">
        <is>
          <t>CASE Expressions</t>
        </is>
      </c>
      <c r="D54" s="17" t="inlineStr">
        <is>
          <t>Q3</t>
        </is>
      </c>
      <c r="E54" s="18" t="inlineStr">
        <is>
          <t>1873. Calculate Special Bonus</t>
        </is>
      </c>
      <c r="F54" s="17" t="inlineStr">
        <is>
          <t>LeetCode</t>
        </is>
      </c>
      <c r="G54" s="18" t="inlineStr">
        <is>
          <t>Medium (LeetCode: Easy)</t>
        </is>
      </c>
      <c r="H54" s="19" t="str">
        <f>HYPERLINK("https://leetcode.com/problems/calculate-special-bonus/","https://leetcode.com/problems/calculate-special-bonus/")</f>
        <v>https://leetcode.com/problems/calculate-special-bonus/</v>
      </c>
      <c r="I54" s="18" t="inlineStr">
        <is>
          <t>Yes – free problem (not Premium); free LeetCode account to submit</t>
        </is>
      </c>
      <c r="J54" s="18" t="inlineStr">
        <is>
          <t>CASE combining MOD and NOT LIKE</t>
        </is>
      </c>
      <c r="K54" s="18" t="inlineStr">
        <is>
          <t>T4 ORDER BY, T5 LIKE, T8 MOD</t>
        </is>
      </c>
      <c r="L54" s="18" t="inlineStr">
        <is>
          <t>Yes – CASE WHEN MOD(employee_id, 2) = 1 AND name NOT LIKE 'M%' THEN salary ELSE 0 END</t>
        </is>
      </c>
      <c r="M54" s="18" t="inlineStr">
        <is>
          <t>Added (verified)</t>
        </is>
      </c>
      <c r="N54" s="17" t="str">
        <f>IF(M54="Added (verified)","Yes","No")</f>
        <v>Yes</v>
      </c>
      <c r="O54" s="17" t="inlineStr">
        <is>
          <t>G12</t>
        </is>
      </c>
      <c r="P54" s="18" t="inlineStr">
        <is>
          <t>Engines: MySQL, MS SQL Server, Oracle, PostgreSQL.</t>
        </is>
      </c>
    </row>
    <row r="55" ht="41.7" customHeight="1">
      <c r="A55" s="17" t="n">
        <v>11</v>
      </c>
      <c r="B55" s="18" t="inlineStr">
        <is>
          <t>Conditional Logic &amp; Dates</t>
        </is>
      </c>
      <c r="C55" s="18" t="inlineStr">
        <is>
          <t>CASE Expressions</t>
        </is>
      </c>
      <c r="D55" s="17" t="inlineStr">
        <is>
          <t>Q4</t>
        </is>
      </c>
      <c r="E55" s="18" t="inlineStr">
        <is>
          <t>Case - When (GSQ81)</t>
        </is>
      </c>
      <c r="F55" s="17" t="inlineStr">
        <is>
          <t>CodeChef</t>
        </is>
      </c>
      <c r="G55" s="18" t="inlineStr">
        <is>
          <t>Medium (CodeChef: medium)</t>
        </is>
      </c>
      <c r="H55" s="19" t="str">
        <f>HYPERLINK("https://www.codechef.com/learn/course/sql-intermediate/SQ00BS08/problems/GSQ81","https://www.codechef.com/learn/course/sql-intermediate/SQ00BS08/problems/GSQ81")</f>
        <v>https://www.codechef.com/learn/course/sql-intermediate/SQ00BS08/problems/GSQ81</v>
      </c>
      <c r="I55" s="18" t="inlineStr">
        <is>
          <t>Yes – free (non-Pro) lesson of CodeChef 'Learn Advanced SQL'; free account to submit</t>
        </is>
      </c>
      <c r="J55" s="18" t="inlineStr">
        <is>
          <t>CASE to bucket rows, then COUNT per bucket</t>
        </is>
      </c>
      <c r="K55" s="18" t="inlineStr">
        <is>
          <t>T7 COUNT, T9 GROUP BY</t>
        </is>
      </c>
      <c r="L55" s="18" t="inlineStr">
        <is>
          <t>Yes – CASE grade buckets with COUNT(*) ... GROUP BY 1</t>
        </is>
      </c>
      <c r="M55" s="18" t="inlineStr">
        <is>
          <t>Added (verified)</t>
        </is>
      </c>
      <c r="N55" s="17" t="str">
        <f>IF(M55="Added (verified)","Yes","No")</f>
        <v>Yes</v>
      </c>
      <c r="O55" s="17" t="inlineStr">
        <is>
          <t>H12</t>
        </is>
      </c>
      <c r="P55" s="18" t="inlineStr">
        <is>
          <t>Runs on SQLite.</t>
        </is>
      </c>
    </row>
    <row r="56" ht="41.7" customHeight="1">
      <c r="A56" s="17" t="n">
        <v>11</v>
      </c>
      <c r="B56" s="18" t="inlineStr">
        <is>
          <t>Conditional Logic &amp; Dates</t>
        </is>
      </c>
      <c r="C56" s="18" t="inlineStr">
        <is>
          <t>CASE Expressions</t>
        </is>
      </c>
      <c r="D56" s="17" t="inlineStr">
        <is>
          <t>Q5</t>
        </is>
      </c>
      <c r="E56" s="18" t="inlineStr">
        <is>
          <t>Sum using Case (GSQ83)</t>
        </is>
      </c>
      <c r="F56" s="17" t="inlineStr">
        <is>
          <t>CodeChef</t>
        </is>
      </c>
      <c r="G56" s="18" t="inlineStr">
        <is>
          <t>Medium (CodeChef: easy)</t>
        </is>
      </c>
      <c r="H56" s="19" t="str">
        <f>HYPERLINK("https://www.codechef.com/learn/course/sql-intermediate/SQ00BS08/problems/GSQ83","https://www.codechef.com/learn/course/sql-intermediate/SQ00BS08/problems/GSQ83")</f>
        <v>https://www.codechef.com/learn/course/sql-intermediate/SQ00BS08/problems/GSQ83</v>
      </c>
      <c r="I56" s="18" t="inlineStr">
        <is>
          <t>Yes – free (non-Pro) lesson of CodeChef 'Learn Advanced SQL'; free account to submit</t>
        </is>
      </c>
      <c r="J56" s="18" t="inlineStr">
        <is>
          <t>CASE inside SUM (conditional sum per group)</t>
        </is>
      </c>
      <c r="K56" s="18" t="inlineStr">
        <is>
          <t>T7 SUM, T9 GROUP BY</t>
        </is>
      </c>
      <c r="L56" s="18" t="inlineStr">
        <is>
          <t>Yes – SUM(CASE WHEN Age &gt; 20 THEN Fee ELSE 0 END) ... GROUP BY Department</t>
        </is>
      </c>
      <c r="M56" s="18" t="inlineStr">
        <is>
          <t>Added (verified)</t>
        </is>
      </c>
      <c r="N56" s="17" t="str">
        <f>IF(M56="Added (verified)","Yes","No")</f>
        <v>Yes</v>
      </c>
      <c r="O56" s="17" t="inlineStr">
        <is>
          <t>I12</t>
        </is>
      </c>
      <c r="P56" s="18" t="inlineStr">
        <is>
          <t>Runs on SQLite.</t>
        </is>
      </c>
    </row>
    <row r="57" ht="41.7" customHeight="1">
      <c r="A57" s="17" t="n">
        <v>12</v>
      </c>
      <c r="B57" s="18" t="inlineStr">
        <is>
          <t>Conditional Logic &amp; Dates</t>
        </is>
      </c>
      <c r="C57" s="18" t="inlineStr">
        <is>
          <t>Date &amp; Time Functions</t>
        </is>
      </c>
      <c r="D57" s="17" t="inlineStr">
        <is>
          <t>Q1</t>
        </is>
      </c>
      <c r="E57" s="18" t="inlineStr">
        <is>
          <t>1141. User Activity for the Past 30 Days I</t>
        </is>
      </c>
      <c r="F57" s="17" t="inlineStr">
        <is>
          <t>LeetCode</t>
        </is>
      </c>
      <c r="G57" s="18" t="inlineStr">
        <is>
          <t>Easy (LeetCode: Easy)</t>
        </is>
      </c>
      <c r="H57" s="19" t="str">
        <f>HYPERLINK("https://leetcode.com/problems/user-activity-for-the-past-30-days-i/","https://leetcode.com/problems/user-activity-for-the-past-30-days-i/")</f>
        <v>https://leetcode.com/problems/user-activity-for-the-past-30-days-i/</v>
      </c>
      <c r="I57" s="18" t="inlineStr">
        <is>
          <t>Yes – free problem (not Premium); free LeetCode account to submit</t>
        </is>
      </c>
      <c r="J57" s="18" t="inlineStr">
        <is>
          <t>Date-range filter (DATEDIFF / DATE_SUB or BETWEEN dates)</t>
        </is>
      </c>
      <c r="K57" s="18" t="inlineStr">
        <is>
          <t>T5 BETWEEN, T9 GROUP BY with COUNT(DISTINCT)</t>
        </is>
      </c>
      <c r="L57" s="18" t="inlineStr">
        <is>
          <t>Yes – 30-day window ending 2019-07-27, COUNT(DISTINCT user_id) per day</t>
        </is>
      </c>
      <c r="M57" s="18" t="inlineStr">
        <is>
          <t>Added (verified)</t>
        </is>
      </c>
      <c r="N57" s="17" t="str">
        <f>IF(M57="Added (verified)","Yes","No")</f>
        <v>Yes</v>
      </c>
      <c r="O57" s="17" t="inlineStr">
        <is>
          <t>E13</t>
        </is>
      </c>
      <c r="P57" s="18" t="inlineStr">
        <is>
          <t>Engines: MySQL, MS SQL Server, Oracle, PostgreSQL.</t>
        </is>
      </c>
    </row>
    <row r="58" ht="41.7" customHeight="1">
      <c r="A58" s="17" t="n">
        <v>12</v>
      </c>
      <c r="B58" s="18" t="inlineStr">
        <is>
          <t>Conditional Logic &amp; Dates</t>
        </is>
      </c>
      <c r="C58" s="18" t="inlineStr">
        <is>
          <t>Date &amp; Time Functions</t>
        </is>
      </c>
      <c r="D58" s="17" t="inlineStr">
        <is>
          <t>Q2</t>
        </is>
      </c>
      <c r="E58" s="18" t="inlineStr">
        <is>
          <t>1890. The Latest Login in 2020</t>
        </is>
      </c>
      <c r="F58" s="17" t="inlineStr">
        <is>
          <t>LeetCode</t>
        </is>
      </c>
      <c r="G58" s="18" t="inlineStr">
        <is>
          <t>Easy (LeetCode: Easy)</t>
        </is>
      </c>
      <c r="H58" s="19" t="str">
        <f>HYPERLINK("https://leetcode.com/problems/the-latest-login-in-2020/","https://leetcode.com/problems/the-latest-login-in-2020/")</f>
        <v>https://leetcode.com/problems/the-latest-login-in-2020/</v>
      </c>
      <c r="I58" s="18" t="inlineStr">
        <is>
          <t>Yes – free problem (not Premium); free LeetCode account to submit</t>
        </is>
      </c>
      <c r="J58" s="18" t="inlineStr">
        <is>
          <t>YEAR() extraction + MAX per group</t>
        </is>
      </c>
      <c r="K58" s="18" t="inlineStr">
        <is>
          <t>T7 MAX, T9 GROUP BY</t>
        </is>
      </c>
      <c r="L58" s="18" t="inlineStr">
        <is>
          <t>Yes – WHERE YEAR(time_stamp) = 2020 ... MAX(time_stamp) GROUP BY user_id</t>
        </is>
      </c>
      <c r="M58" s="18" t="inlineStr">
        <is>
          <t>Added (verified)</t>
        </is>
      </c>
      <c r="N58" s="17" t="str">
        <f>IF(M58="Added (verified)","Yes","No")</f>
        <v>Yes</v>
      </c>
      <c r="O58" s="17" t="inlineStr">
        <is>
          <t>F13</t>
        </is>
      </c>
      <c r="P58" s="18" t="inlineStr">
        <is>
          <t>Engines: MySQL, MS SQL Server, Oracle, PostgreSQL.</t>
        </is>
      </c>
    </row>
    <row r="59" ht="54.6" customHeight="1">
      <c r="A59" s="17" t="n">
        <v>12</v>
      </c>
      <c r="B59" s="18" t="inlineStr">
        <is>
          <t>Conditional Logic &amp; Dates</t>
        </is>
      </c>
      <c r="C59" s="18" t="inlineStr">
        <is>
          <t>Date &amp; Time Functions</t>
        </is>
      </c>
      <c r="D59" s="17" t="inlineStr">
        <is>
          <t>Q3</t>
        </is>
      </c>
      <c r="E59" s="18" t="inlineStr">
        <is>
          <t>Task-6C Aggregations &amp; Grouping (RSMSPR06C)</t>
        </is>
      </c>
      <c r="F59" s="17" t="inlineStr">
        <is>
          <t>CodeChef</t>
        </is>
      </c>
      <c r="G59" s="18" t="inlineStr">
        <is>
          <t>Medium (CodeChef: medium)</t>
        </is>
      </c>
      <c r="H59" s="19" t="str">
        <f>HYPERLINK("https://www.codechef.com/learn/course/sql/BEGSQLPR/problems/RSMSPR06C","https://www.codechef.com/learn/course/sql/BEGSQLPR/problems/RSMSPR06C")</f>
        <v>https://www.codechef.com/learn/course/sql/BEGSQLPR/problems/RSMSPR06C</v>
      </c>
      <c r="I59" s="18" t="inlineStr">
        <is>
          <t>Yes – free (non-Pro) lesson of CodeChef 'Learn SQL'; free account to submit</t>
        </is>
      </c>
      <c r="J59" s="18" t="inlineStr">
        <is>
          <t>Grouping by month with strftime('%Y-%m', ...)</t>
        </is>
      </c>
      <c r="K59" s="18" t="inlineStr">
        <is>
          <t>T7 COUNT, T9 GROUP BY</t>
        </is>
      </c>
      <c r="L59" s="18" t="inlineStr">
        <is>
          <t>Yes – month key from strftime, COUNT(*) ... GROUP BY month</t>
        </is>
      </c>
      <c r="M59" s="18" t="inlineStr">
        <is>
          <t>Added (verified)</t>
        </is>
      </c>
      <c r="N59" s="17" t="str">
        <f>IF(M59="Added (verified)","Yes","No")</f>
        <v>Yes</v>
      </c>
      <c r="O59" s="17" t="inlineStr">
        <is>
          <t>G13</t>
        </is>
      </c>
      <c r="P59" s="18" t="inlineStr">
        <is>
          <t>Lesson of the free 'Retail store management system' project; the tables it needs are pre-loaded and shown in the statement. The statement gives the strftime pattern. Runs on SQLite.</t>
        </is>
      </c>
    </row>
    <row r="60" ht="41.7" customHeight="1">
      <c r="A60" s="17" t="n">
        <v>12</v>
      </c>
      <c r="B60" s="18" t="inlineStr">
        <is>
          <t>Conditional Logic &amp; Dates</t>
        </is>
      </c>
      <c r="C60" s="18" t="inlineStr">
        <is>
          <t>Date &amp; Time Functions</t>
        </is>
      </c>
      <c r="D60" s="17" t="inlineStr">
        <is>
          <t>Q4</t>
        </is>
      </c>
      <c r="E60" s="18" t="inlineStr">
        <is>
          <t>Task-8 Date Functions (RSMSPR08)</t>
        </is>
      </c>
      <c r="F60" s="17" t="inlineStr">
        <is>
          <t>CodeChef</t>
        </is>
      </c>
      <c r="G60" s="18" t="inlineStr">
        <is>
          <t>Medium (CodeChef: medium)</t>
        </is>
      </c>
      <c r="H60" s="19" t="str">
        <f>HYPERLINK("https://www.codechef.com/learn/course/sql/BEGSQLPR/problems/RSMSPR08","https://www.codechef.com/learn/course/sql/BEGSQLPR/problems/RSMSPR08")</f>
        <v>https://www.codechef.com/learn/course/sql/BEGSQLPR/problems/RSMSPR08</v>
      </c>
      <c r="I60" s="18" t="inlineStr">
        <is>
          <t>Yes – free (non-Pro) lesson of CodeChef 'Learn SQL'; free account to submit</t>
        </is>
      </c>
      <c r="J60" s="18" t="inlineStr">
        <is>
          <t>Month filters, latest date, JULIANDAY differences, DATE() ranges</t>
        </is>
      </c>
      <c r="K60" s="18" t="inlineStr">
        <is>
          <t>T5 BETWEEN, T7 MIN / MAX, T9 GROUP BY</t>
        </is>
      </c>
      <c r="L60" s="18" t="inlineStr">
        <is>
          <t>Yes – five short date queries using only date functions, aggregates and GROUP BY</t>
        </is>
      </c>
      <c r="M60" s="18" t="inlineStr">
        <is>
          <t>Added (verified)</t>
        </is>
      </c>
      <c r="N60" s="17" t="str">
        <f>IF(M60="Added (verified)","Yes","No")</f>
        <v>Yes</v>
      </c>
      <c r="O60" s="17" t="inlineStr">
        <is>
          <t>H13</t>
        </is>
      </c>
      <c r="P60" s="18" t="inlineStr">
        <is>
          <t>Lesson of the free 'Retail store management system' project; the tables it needs are pre-loaded and shown in the statement. Runs on SQLite.</t>
        </is>
      </c>
    </row>
    <row r="61" ht="41.7" customHeight="1">
      <c r="A61" s="17" t="n">
        <v>12</v>
      </c>
      <c r="B61" s="18" t="inlineStr">
        <is>
          <t>Conditional Logic &amp; Dates</t>
        </is>
      </c>
      <c r="C61" s="18" t="inlineStr">
        <is>
          <t>Date &amp; Time Functions</t>
        </is>
      </c>
      <c r="D61" s="17" t="inlineStr">
        <is>
          <t>Q5</t>
        </is>
      </c>
      <c r="E61" s="18" t="inlineStr">
        <is>
          <t>1193. Monthly Transactions I</t>
        </is>
      </c>
      <c r="F61" s="17" t="inlineStr">
        <is>
          <t>LeetCode</t>
        </is>
      </c>
      <c r="G61" s="18" t="inlineStr">
        <is>
          <t>Challenging (LeetCode: Medium)</t>
        </is>
      </c>
      <c r="H61" s="19" t="str">
        <f>HYPERLINK("https://leetcode.com/problems/monthly-transactions-i/","https://leetcode.com/problems/monthly-transactions-i/")</f>
        <v>https://leetcode.com/problems/monthly-transactions-i/</v>
      </c>
      <c r="I61" s="18" t="inlineStr">
        <is>
          <t>Yes – free problem (not Premium); free LeetCode account to submit</t>
        </is>
      </c>
      <c r="J61" s="18" t="inlineStr">
        <is>
          <t>DATE_FORMAT month key with conditional counts and sums</t>
        </is>
      </c>
      <c r="K61" s="18" t="inlineStr">
        <is>
          <t>T9 GROUP BY, T11 CASE inside aggregates</t>
        </is>
      </c>
      <c r="L61" s="18" t="inlineStr">
        <is>
          <t>Yes – DATE_FORMAT(trans_date, '%Y-%m') ... SUM(CASE ...) GROUP BY month, country</t>
        </is>
      </c>
      <c r="M61" s="18" t="inlineStr">
        <is>
          <t>Added (verified)</t>
        </is>
      </c>
      <c r="N61" s="17" t="str">
        <f>IF(M61="Added (verified)","Yes","No")</f>
        <v>Yes</v>
      </c>
      <c r="O61" s="17" t="inlineStr">
        <is>
          <t>I13</t>
        </is>
      </c>
      <c r="P61" s="18" t="inlineStr">
        <is>
          <t>Engines: MySQL, MS SQL Server, Oracle, PostgreSQL.</t>
        </is>
      </c>
    </row>
    <row r="62" ht="41.7" customHeight="1">
      <c r="A62" s="17" t="n">
        <v>13</v>
      </c>
      <c r="B62" s="18" t="inlineStr">
        <is>
          <t>Conditional Logic &amp; Dates</t>
        </is>
      </c>
      <c r="C62" s="18" t="inlineStr">
        <is>
          <t>Pivoting &amp; Conditional Aggregation</t>
        </is>
      </c>
      <c r="D62" s="17" t="inlineStr">
        <is>
          <t>Q1</t>
        </is>
      </c>
      <c r="E62" s="18" t="inlineStr">
        <is>
          <t>1179. Reformat Department Table</t>
        </is>
      </c>
      <c r="F62" s="17" t="inlineStr">
        <is>
          <t>LeetCode</t>
        </is>
      </c>
      <c r="G62" s="18" t="inlineStr">
        <is>
          <t>Easy (LeetCode: Easy)</t>
        </is>
      </c>
      <c r="H62" s="19" t="str">
        <f>HYPERLINK("https://leetcode.com/problems/reformat-department-table/","https://leetcode.com/problems/reformat-department-table/")</f>
        <v>https://leetcode.com/problems/reformat-department-table/</v>
      </c>
      <c r="I62" s="18" t="inlineStr">
        <is>
          <t>Yes – free problem (not Premium); free LeetCode account to submit</t>
        </is>
      </c>
      <c r="J62" s="18" t="inlineStr">
        <is>
          <t>Pivot rows into month columns with SUM(CASE ...)</t>
        </is>
      </c>
      <c r="K62" s="18" t="inlineStr">
        <is>
          <t>T9 GROUP BY, T11 CASE</t>
        </is>
      </c>
      <c r="L62" s="18" t="inlineStr">
        <is>
          <t>Yes – one SUM(CASE WHEN month = 'Jan' ...) column per month, GROUP BY id</t>
        </is>
      </c>
      <c r="M62" s="18" t="inlineStr">
        <is>
          <t>Added (verified)</t>
        </is>
      </c>
      <c r="N62" s="17" t="str">
        <f>IF(M62="Added (verified)","Yes","No")</f>
        <v>Yes</v>
      </c>
      <c r="O62" s="17" t="inlineStr">
        <is>
          <t>E14</t>
        </is>
      </c>
      <c r="P62" s="18" t="inlineStr">
        <is>
          <t>Engines: MySQL, MS SQL Server, Oracle, PostgreSQL.</t>
        </is>
      </c>
    </row>
    <row r="63" ht="41.7" customHeight="1">
      <c r="A63" s="17" t="n">
        <v>13</v>
      </c>
      <c r="B63" s="18" t="inlineStr">
        <is>
          <t>Conditional Logic &amp; Dates</t>
        </is>
      </c>
      <c r="C63" s="18" t="inlineStr">
        <is>
          <t>Pivoting &amp; Conditional Aggregation</t>
        </is>
      </c>
      <c r="D63" s="17" t="inlineStr">
        <is>
          <t>Q2</t>
        </is>
      </c>
      <c r="E63" s="18" t="inlineStr">
        <is>
          <t>1211. Queries Quality and Percentage</t>
        </is>
      </c>
      <c r="F63" s="17" t="inlineStr">
        <is>
          <t>LeetCode</t>
        </is>
      </c>
      <c r="G63" s="18" t="inlineStr">
        <is>
          <t>Easy (LeetCode: Easy)</t>
        </is>
      </c>
      <c r="H63" s="19" t="str">
        <f>HYPERLINK("https://leetcode.com/problems/queries-quality-and-percentage/","https://leetcode.com/problems/queries-quality-and-percentage/")</f>
        <v>https://leetcode.com/problems/queries-quality-and-percentage/</v>
      </c>
      <c r="I63" s="18" t="inlineStr">
        <is>
          <t>Yes – free problem (not Premium); free LeetCode account to submit</t>
        </is>
      </c>
      <c r="J63" s="18" t="inlineStr">
        <is>
          <t>Average of a ratio + percentage of rows meeting a condition</t>
        </is>
      </c>
      <c r="K63" s="18" t="inlineStr">
        <is>
          <t>T8 ROUND, T9 GROUP BY, T11 CASE</t>
        </is>
      </c>
      <c r="L63" s="18" t="inlineStr">
        <is>
          <t>Yes – ROUND(AVG(rating / position), 2) and ROUND(AVG(CASE WHEN rating &lt; 3 THEN 1 ELSE 0 END) * 100, 2)</t>
        </is>
      </c>
      <c r="M63" s="18" t="inlineStr">
        <is>
          <t>Added (verified)</t>
        </is>
      </c>
      <c r="N63" s="17" t="str">
        <f>IF(M63="Added (verified)","Yes","No")</f>
        <v>Yes</v>
      </c>
      <c r="O63" s="17" t="inlineStr">
        <is>
          <t>F14</t>
        </is>
      </c>
      <c r="P63" s="18" t="inlineStr">
        <is>
          <t>Engines: MySQL, MS SQL Server, Oracle, PostgreSQL.</t>
        </is>
      </c>
    </row>
    <row r="64" ht="41.7" customHeight="1">
      <c r="A64" s="17" t="n">
        <v>13</v>
      </c>
      <c r="B64" s="18" t="inlineStr">
        <is>
          <t>Conditional Logic &amp; Dates</t>
        </is>
      </c>
      <c r="C64" s="18" t="inlineStr">
        <is>
          <t>Pivoting &amp; Conditional Aggregation</t>
        </is>
      </c>
      <c r="D64" s="17" t="inlineStr">
        <is>
          <t>Q3</t>
        </is>
      </c>
      <c r="E64" s="18" t="inlineStr">
        <is>
          <t>Combining Aggregates (GSQ84)</t>
        </is>
      </c>
      <c r="F64" s="17" t="inlineStr">
        <is>
          <t>CodeChef</t>
        </is>
      </c>
      <c r="G64" s="18" t="inlineStr">
        <is>
          <t>Medium (CodeChef: medium)</t>
        </is>
      </c>
      <c r="H64" s="19" t="str">
        <f>HYPERLINK("https://www.codechef.com/learn/course/sql-intermediate/SQ00BS08/problems/GSQ84","https://www.codechef.com/learn/course/sql-intermediate/SQ00BS08/problems/GSQ84")</f>
        <v>https://www.codechef.com/learn/course/sql-intermediate/SQ00BS08/problems/GSQ84</v>
      </c>
      <c r="I64" s="18" t="inlineStr">
        <is>
          <t>Yes – free (non-Pro) lesson of CodeChef 'Learn Advanced SQL'; free account to submit</t>
        </is>
      </c>
      <c r="J64" s="18" t="inlineStr">
        <is>
          <t>Ratio of a conditional SUM to the total SUM per group</t>
        </is>
      </c>
      <c r="K64" s="18" t="inlineStr">
        <is>
          <t>T9 GROUP BY, T11 CASE</t>
        </is>
      </c>
      <c r="L64" s="18" t="inlineStr">
        <is>
          <t>Yes – 100 * SUM(CASE ...) / SUM(Fee) ... GROUP BY Department</t>
        </is>
      </c>
      <c r="M64" s="18" t="inlineStr">
        <is>
          <t>Added (verified)</t>
        </is>
      </c>
      <c r="N64" s="17" t="str">
        <f>IF(M64="Added (verified)","Yes","No")</f>
        <v>Yes</v>
      </c>
      <c r="O64" s="17" t="inlineStr">
        <is>
          <t>G14</t>
        </is>
      </c>
      <c r="P64" s="18" t="inlineStr">
        <is>
          <t>Runs on SQLite.</t>
        </is>
      </c>
    </row>
    <row r="65" ht="41.7" customHeight="1">
      <c r="A65" s="17" t="n">
        <v>13</v>
      </c>
      <c r="B65" s="18" t="inlineStr">
        <is>
          <t>Conditional Logic &amp; Dates</t>
        </is>
      </c>
      <c r="C65" s="18" t="inlineStr">
        <is>
          <t>Pivoting &amp; Conditional Aggregation</t>
        </is>
      </c>
      <c r="D65" s="17" t="inlineStr">
        <is>
          <t>Q4</t>
        </is>
      </c>
      <c r="E65" s="18" t="inlineStr">
        <is>
          <t>1393. Capital Gain/Loss</t>
        </is>
      </c>
      <c r="F65" s="17" t="inlineStr">
        <is>
          <t>LeetCode</t>
        </is>
      </c>
      <c r="G65" s="18" t="inlineStr">
        <is>
          <t>Medium (LeetCode: Medium)</t>
        </is>
      </c>
      <c r="H65" s="19" t="str">
        <f>HYPERLINK("https://leetcode.com/problems/capital-gainloss/","https://leetcode.com/problems/capital-gainloss/")</f>
        <v>https://leetcode.com/problems/capital-gainloss/</v>
      </c>
      <c r="I65" s="18" t="inlineStr">
        <is>
          <t>Yes – free problem (not Premium); free LeetCode account to submit</t>
        </is>
      </c>
      <c r="J65" s="18" t="inlineStr">
        <is>
          <t>Signed SUM(CASE ...) to net buys against sells</t>
        </is>
      </c>
      <c r="K65" s="18" t="inlineStr">
        <is>
          <t>T9 GROUP BY, T11 CASE</t>
        </is>
      </c>
      <c r="L65" s="18" t="inlineStr">
        <is>
          <t>Yes – SUM(CASE WHEN operation = 'Buy' THEN -price ELSE price END) ... GROUP BY stock_name</t>
        </is>
      </c>
      <c r="M65" s="18" t="inlineStr">
        <is>
          <t>Added (verified)</t>
        </is>
      </c>
      <c r="N65" s="17" t="str">
        <f>IF(M65="Added (verified)","Yes","No")</f>
        <v>Yes</v>
      </c>
      <c r="O65" s="17" t="inlineStr">
        <is>
          <t>H14</t>
        </is>
      </c>
      <c r="P65" s="18" t="inlineStr">
        <is>
          <t>Engines: MySQL, MS SQL Server, Oracle, PostgreSQL.</t>
        </is>
      </c>
    </row>
    <row r="66" ht="41.7" customHeight="1">
      <c r="A66" s="17" t="n">
        <v>13</v>
      </c>
      <c r="B66" s="18" t="inlineStr">
        <is>
          <t>Conditional Logic &amp; Dates</t>
        </is>
      </c>
      <c r="C66" s="18" t="inlineStr">
        <is>
          <t>Pivoting &amp; Conditional Aggregation</t>
        </is>
      </c>
      <c r="D66" s="17" t="inlineStr">
        <is>
          <t>Q5</t>
        </is>
      </c>
      <c r="E66" s="18" t="inlineStr">
        <is>
          <t>3220. Odd and Even Transactions</t>
        </is>
      </c>
      <c r="F66" s="17" t="inlineStr">
        <is>
          <t>LeetCode</t>
        </is>
      </c>
      <c r="G66" s="18" t="inlineStr">
        <is>
          <t>Challenging (LeetCode: Medium)</t>
        </is>
      </c>
      <c r="H66" s="19" t="str">
        <f>HYPERLINK("https://leetcode.com/problems/odd-and-even-transactions/","https://leetcode.com/problems/odd-and-even-transactions/")</f>
        <v>https://leetcode.com/problems/odd-and-even-transactions/</v>
      </c>
      <c r="I66" s="18" t="inlineStr">
        <is>
          <t>Yes – free problem (not Premium); free LeetCode account to submit</t>
        </is>
      </c>
      <c r="J66" s="18" t="inlineStr">
        <is>
          <t>Two conditional SUM columns per date</t>
        </is>
      </c>
      <c r="K66" s="18" t="inlineStr">
        <is>
          <t>T4 ORDER BY, T8 MOD, T11 CASE</t>
        </is>
      </c>
      <c r="L66" s="18" t="inlineStr">
        <is>
          <t>Yes – SUM(CASE WHEN MOD(amount, 2) = 1 ...) and SUM(CASE WHEN MOD(amount, 2) = 0 ...) GROUP BY transaction_date</t>
        </is>
      </c>
      <c r="M66" s="18" t="inlineStr">
        <is>
          <t>Added (verified)</t>
        </is>
      </c>
      <c r="N66" s="17" t="str">
        <f>IF(M66="Added (verified)","Yes","No")</f>
        <v>Yes</v>
      </c>
      <c r="O66" s="17" t="inlineStr">
        <is>
          <t>I14</t>
        </is>
      </c>
      <c r="P66" s="18" t="inlineStr">
        <is>
          <t>Engines: MySQL, MS SQL Server, Oracle, PostgreSQL.</t>
        </is>
      </c>
    </row>
    <row r="67" ht="41.7" customHeight="1">
      <c r="A67" s="17" t="n">
        <v>14</v>
      </c>
      <c r="B67" s="18" t="inlineStr">
        <is>
          <t>Data Modification &amp; Schema</t>
        </is>
      </c>
      <c r="C67" s="18" t="inlineStr">
        <is>
          <t>UPDATE &amp; DELETE</t>
        </is>
      </c>
      <c r="D67" s="17" t="inlineStr">
        <is>
          <t>Q1</t>
        </is>
      </c>
      <c r="E67" s="18" t="inlineStr">
        <is>
          <t>Practice Problem - Update table (GSQ11)</t>
        </is>
      </c>
      <c r="F67" s="17" t="inlineStr">
        <is>
          <t>CodeChef</t>
        </is>
      </c>
      <c r="G67" s="18" t="inlineStr">
        <is>
          <t>Easy (CodeChef: easy)</t>
        </is>
      </c>
      <c r="H67" s="19" t="str">
        <f>HYPERLINK("https://www.codechef.com/learn/course/sql/SQ00LS02/problems/GSQ11","https://www.codechef.com/learn/course/sql/SQ00LS02/problems/GSQ11")</f>
        <v>https://www.codechef.com/learn/course/sql/SQ00LS02/problems/GSQ11</v>
      </c>
      <c r="I67" s="18" t="inlineStr">
        <is>
          <t>Yes – free (non-Pro) lesson of CodeChef 'Learn SQL'; free account to submit</t>
        </is>
      </c>
      <c r="J67" s="18" t="inlineStr">
        <is>
          <t>UPDATE ... SET ... WHERE</t>
        </is>
      </c>
      <c r="K67" s="18" t="inlineStr">
        <is>
          <t>T1 SELECT, T3 WHERE</t>
        </is>
      </c>
      <c r="L67" s="18" t="inlineStr">
        <is>
          <t>Yes – UPDATE employee SET Hourly_Pay = 150 WHERE Department = 'Hr'</t>
        </is>
      </c>
      <c r="M67" s="18" t="inlineStr">
        <is>
          <t>Added (verified)</t>
        </is>
      </c>
      <c r="N67" s="17" t="str">
        <f>IF(M67="Added (verified)","Yes","No")</f>
        <v>Yes</v>
      </c>
      <c r="O67" s="17" t="inlineStr">
        <is>
          <t>E15</t>
        </is>
      </c>
      <c r="P67" s="18" t="inlineStr">
        <is>
          <t>Runs on SQLite.</t>
        </is>
      </c>
    </row>
    <row r="68" ht="41.7" customHeight="1">
      <c r="A68" s="17" t="n">
        <v>14</v>
      </c>
      <c r="B68" s="18" t="inlineStr">
        <is>
          <t>Data Modification &amp; Schema</t>
        </is>
      </c>
      <c r="C68" s="18" t="inlineStr">
        <is>
          <t>UPDATE &amp; DELETE</t>
        </is>
      </c>
      <c r="D68" s="17" t="inlineStr">
        <is>
          <t>Q2</t>
        </is>
      </c>
      <c r="E68" s="18" t="inlineStr">
        <is>
          <t>Practice - Delete Single Record (GSQ56)</t>
        </is>
      </c>
      <c r="F68" s="17" t="inlineStr">
        <is>
          <t>CodeChef</t>
        </is>
      </c>
      <c r="G68" s="18" t="inlineStr">
        <is>
          <t>Easy (CodeChef: easy)</t>
        </is>
      </c>
      <c r="H68" s="19" t="str">
        <f>HYPERLINK("https://www.codechef.com/learn/course/sql/SQ00LS03/problems/GSQ56","https://www.codechef.com/learn/course/sql/SQ00LS03/problems/GSQ56")</f>
        <v>https://www.codechef.com/learn/course/sql/SQ00LS03/problems/GSQ56</v>
      </c>
      <c r="I68" s="18" t="inlineStr">
        <is>
          <t>Yes – free (non-Pro) lesson of CodeChef 'Learn SQL'; free account to submit</t>
        </is>
      </c>
      <c r="J68" s="18" t="inlineStr">
        <is>
          <t>DELETE one row by key</t>
        </is>
      </c>
      <c r="K68" s="18" t="inlineStr">
        <is>
          <t>T1 SELECT, T3 WHERE</t>
        </is>
      </c>
      <c r="L68" s="18" t="inlineStr">
        <is>
          <t>Yes – DELETE FROM customer WHERE Id = 1</t>
        </is>
      </c>
      <c r="M68" s="18" t="inlineStr">
        <is>
          <t>Added (verified)</t>
        </is>
      </c>
      <c r="N68" s="17" t="str">
        <f>IF(M68="Added (verified)","Yes","No")</f>
        <v>Yes</v>
      </c>
      <c r="O68" s="17" t="inlineStr">
        <is>
          <t>F15</t>
        </is>
      </c>
      <c r="P68" s="18" t="inlineStr">
        <is>
          <t>Runs on SQLite.</t>
        </is>
      </c>
    </row>
    <row r="69" ht="41.7" customHeight="1">
      <c r="A69" s="17" t="n">
        <v>14</v>
      </c>
      <c r="B69" s="18" t="inlineStr">
        <is>
          <t>Data Modification &amp; Schema</t>
        </is>
      </c>
      <c r="C69" s="18" t="inlineStr">
        <is>
          <t>UPDATE &amp; DELETE</t>
        </is>
      </c>
      <c r="D69" s="17" t="inlineStr">
        <is>
          <t>Q3</t>
        </is>
      </c>
      <c r="E69" s="18" t="inlineStr">
        <is>
          <t>Practice - Delete From (GSQ14)</t>
        </is>
      </c>
      <c r="F69" s="17" t="inlineStr">
        <is>
          <t>CodeChef</t>
        </is>
      </c>
      <c r="G69" s="18" t="inlineStr">
        <is>
          <t>Easy (CodeChef: easy)</t>
        </is>
      </c>
      <c r="H69" s="19" t="str">
        <f>HYPERLINK("https://www.codechef.com/learn/course/sql/SQ00LS02/problems/GSQ14","https://www.codechef.com/learn/course/sql/SQ00LS02/problems/GSQ14")</f>
        <v>https://www.codechef.com/learn/course/sql/SQ00LS02/problems/GSQ14</v>
      </c>
      <c r="I69" s="18" t="inlineStr">
        <is>
          <t>Yes – free (non-Pro) lesson of CodeChef 'Learn SQL'; free account to submit</t>
        </is>
      </c>
      <c r="J69" s="18" t="inlineStr">
        <is>
          <t>DELETE rows matching a condition</t>
        </is>
      </c>
      <c r="K69" s="18" t="inlineStr">
        <is>
          <t>T1 SELECT, T3 WHERE</t>
        </is>
      </c>
      <c r="L69" s="18" t="inlineStr">
        <is>
          <t>Yes – DELETE FROM employee WHERE Department = 'Client'</t>
        </is>
      </c>
      <c r="M69" s="18" t="inlineStr">
        <is>
          <t>Added (verified)</t>
        </is>
      </c>
      <c r="N69" s="17" t="str">
        <f>IF(M69="Added (verified)","Yes","No")</f>
        <v>Yes</v>
      </c>
      <c r="O69" s="17" t="inlineStr">
        <is>
          <t>G15</t>
        </is>
      </c>
      <c r="P69" s="18" t="inlineStr">
        <is>
          <t>Runs on SQLite.</t>
        </is>
      </c>
    </row>
    <row r="70" ht="41.7" customHeight="1">
      <c r="A70" s="17" t="n">
        <v>14</v>
      </c>
      <c r="B70" s="18" t="inlineStr">
        <is>
          <t>Data Modification &amp; Schema</t>
        </is>
      </c>
      <c r="C70" s="18" t="inlineStr">
        <is>
          <t>UPDATE &amp; DELETE</t>
        </is>
      </c>
      <c r="D70" s="17" t="inlineStr">
        <is>
          <t>Q4</t>
        </is>
      </c>
      <c r="E70" s="18" t="inlineStr">
        <is>
          <t>Task-4C Data Modification (Update and Alter) (RSMSPR04C)</t>
        </is>
      </c>
      <c r="F70" s="17" t="inlineStr">
        <is>
          <t>CodeChef</t>
        </is>
      </c>
      <c r="G70" s="18" t="inlineStr">
        <is>
          <t>Medium (CodeChef: easy)</t>
        </is>
      </c>
      <c r="H70" s="19" t="str">
        <f>HYPERLINK("https://www.codechef.com/learn/course/sql/BEGSQLPR/problems/RSMSPR04C","https://www.codechef.com/learn/course/sql/BEGSQLPR/problems/RSMSPR04C")</f>
        <v>https://www.codechef.com/learn/course/sql/BEGSQLPR/problems/RSMSPR04C</v>
      </c>
      <c r="I70" s="18" t="inlineStr">
        <is>
          <t>Yes – free (non-Pro) lesson of CodeChef 'Learn SQL'; free account to submit</t>
        </is>
      </c>
      <c r="J70" s="18" t="inlineStr">
        <is>
          <t>UPDATE, then check the result with a filtered SELECT</t>
        </is>
      </c>
      <c r="K70" s="18" t="inlineStr">
        <is>
          <t>T3 WHERE</t>
        </is>
      </c>
      <c r="L70" s="18" t="inlineStr">
        <is>
          <t>Yes – UPDATE ... SET stock_quantity = 0 WHERE stock_quantity = 10, then SELECT ... WHERE</t>
        </is>
      </c>
      <c r="M70" s="18" t="inlineStr">
        <is>
          <t>Added (verified)</t>
        </is>
      </c>
      <c r="N70" s="17" t="str">
        <f>IF(M70="Added (verified)","Yes","No")</f>
        <v>Yes</v>
      </c>
      <c r="O70" s="17" t="inlineStr">
        <is>
          <t>H15</t>
        </is>
      </c>
      <c r="P70" s="18" t="inlineStr">
        <is>
          <t>Lesson of the free 'Retail store management system' project; the tables it needs are pre-loaded and shown in the statement. Runs on SQLite.</t>
        </is>
      </c>
    </row>
    <row r="71" ht="41.7" customHeight="1">
      <c r="A71" s="17" t="n">
        <v>14</v>
      </c>
      <c r="B71" s="18" t="inlineStr">
        <is>
          <t>Data Modification &amp; Schema</t>
        </is>
      </c>
      <c r="C71" s="18" t="inlineStr">
        <is>
          <t>UPDATE &amp; DELETE</t>
        </is>
      </c>
      <c r="D71" s="17" t="inlineStr">
        <is>
          <t>Q5</t>
        </is>
      </c>
      <c r="E71" s="18" t="inlineStr">
        <is>
          <t>627. Swap Sex of Employees</t>
        </is>
      </c>
      <c r="F71" s="17" t="inlineStr">
        <is>
          <t>LeetCode</t>
        </is>
      </c>
      <c r="G71" s="18" t="inlineStr">
        <is>
          <t>Medium (LeetCode: Easy)</t>
        </is>
      </c>
      <c r="H71" s="19" t="str">
        <f>HYPERLINK("https://leetcode.com/problems/swap-sex-of-employees/","https://leetcode.com/problems/swap-sex-of-employees/")</f>
        <v>https://leetcode.com/problems/swap-sex-of-employees/</v>
      </c>
      <c r="I71" s="18" t="inlineStr">
        <is>
          <t>Yes – free problem (not Premium); free LeetCode account to submit</t>
        </is>
      </c>
      <c r="J71" s="18" t="inlineStr">
        <is>
          <t>Single UPDATE using CASE (no SELECT, no temp table)</t>
        </is>
      </c>
      <c r="K71" s="18" t="inlineStr">
        <is>
          <t>T11 CASE</t>
        </is>
      </c>
      <c r="L71" s="18" t="inlineStr">
        <is>
          <t>Yes – UPDATE Salary SET sex = CASE sex WHEN 'm' THEN 'f' ELSE 'm' END</t>
        </is>
      </c>
      <c r="M71" s="18" t="inlineStr">
        <is>
          <t>Added (verified)</t>
        </is>
      </c>
      <c r="N71" s="17" t="str">
        <f>IF(M71="Added (verified)","Yes","No")</f>
        <v>Yes</v>
      </c>
      <c r="O71" s="17" t="inlineStr">
        <is>
          <t>I15</t>
        </is>
      </c>
      <c r="P71" s="18" t="inlineStr">
        <is>
          <t>Engines: MySQL, MS SQL Server, Oracle, PostgreSQL.</t>
        </is>
      </c>
    </row>
    <row r="72" ht="41.7" customHeight="1">
      <c r="A72" s="17" t="n">
        <v>15</v>
      </c>
      <c r="B72" s="18" t="inlineStr">
        <is>
          <t>Data Modification &amp; Schema</t>
        </is>
      </c>
      <c r="C72" s="18" t="inlineStr">
        <is>
          <t>ALTER TABLE &amp; Constraints</t>
        </is>
      </c>
      <c r="D72" s="17" t="inlineStr">
        <is>
          <t>Q1</t>
        </is>
      </c>
      <c r="E72" s="18" t="inlineStr">
        <is>
          <t>Practice Problem - Alter table (GSQ10)</t>
        </is>
      </c>
      <c r="F72" s="17" t="inlineStr">
        <is>
          <t>CodeChef</t>
        </is>
      </c>
      <c r="G72" s="18" t="inlineStr">
        <is>
          <t>Easy (CodeChef: easy)</t>
        </is>
      </c>
      <c r="H72" s="19" t="str">
        <f>HYPERLINK("https://www.codechef.com/learn/course/sql/SQ00LS02/problems/GSQ10","https://www.codechef.com/learn/course/sql/SQ00LS02/problems/GSQ10")</f>
        <v>https://www.codechef.com/learn/course/sql/SQ00LS02/problems/GSQ10</v>
      </c>
      <c r="I72" s="18" t="inlineStr">
        <is>
          <t>Yes – free (non-Pro) lesson of CodeChef 'Learn SQL'; free account to submit</t>
        </is>
      </c>
      <c r="J72" s="18" t="inlineStr">
        <is>
          <t>ALTER TABLE ... ADD COLUMN ... DEFAULT</t>
        </is>
      </c>
      <c r="K72" s="18" t="inlineStr">
        <is>
          <t>T1 SELECT, T2 CREATE TABLE</t>
        </is>
      </c>
      <c r="L72" s="18" t="inlineStr">
        <is>
          <t>Yes – ALTER TABLE employee ADD COLUMN Hourly_Pay INT DEFAULT 100</t>
        </is>
      </c>
      <c r="M72" s="18" t="inlineStr">
        <is>
          <t>Added (verified)</t>
        </is>
      </c>
      <c r="N72" s="17" t="str">
        <f>IF(M72="Added (verified)","Yes","No")</f>
        <v>Yes</v>
      </c>
      <c r="O72" s="17" t="inlineStr">
        <is>
          <t>E16</t>
        </is>
      </c>
      <c r="P72" s="18" t="inlineStr">
        <is>
          <t>Runs on SQLite.</t>
        </is>
      </c>
    </row>
    <row r="73" ht="41.7" customHeight="1">
      <c r="A73" s="17" t="n">
        <v>15</v>
      </c>
      <c r="B73" s="18" t="inlineStr">
        <is>
          <t>Data Modification &amp; Schema</t>
        </is>
      </c>
      <c r="C73" s="18" t="inlineStr">
        <is>
          <t>ALTER TABLE &amp; Constraints</t>
        </is>
      </c>
      <c r="D73" s="17" t="inlineStr">
        <is>
          <t>Q2</t>
        </is>
      </c>
      <c r="E73" s="18" t="inlineStr">
        <is>
          <t>Constraints (GSQ13)</t>
        </is>
      </c>
      <c r="F73" s="17" t="inlineStr">
        <is>
          <t>CodeChef</t>
        </is>
      </c>
      <c r="G73" s="18" t="inlineStr">
        <is>
          <t>Easy (CodeChef: easy)</t>
        </is>
      </c>
      <c r="H73" s="19" t="str">
        <f>HYPERLINK("https://www.codechef.com/learn/course/sql/SQ00LS02/problems/GSQ13","https://www.codechef.com/learn/course/sql/SQ00LS02/problems/GSQ13")</f>
        <v>https://www.codechef.com/learn/course/sql/SQ00LS02/problems/GSQ13</v>
      </c>
      <c r="I73" s="18" t="inlineStr">
        <is>
          <t>Yes – free (non-Pro) lesson of CodeChef 'Learn SQL'; free account to submit</t>
        </is>
      </c>
      <c r="J73" s="18" t="inlineStr">
        <is>
          <t>PRIMARY KEY, UNIQUE, NOT NULL, CHECK</t>
        </is>
      </c>
      <c r="K73" s="18" t="inlineStr">
        <is>
          <t>T2 CREATE TABLE, T5 IN</t>
        </is>
      </c>
      <c r="L73" s="18" t="inlineStr">
        <is>
          <t>Yes – one CREATE TABLE with four constraint types</t>
        </is>
      </c>
      <c r="M73" s="18" t="inlineStr">
        <is>
          <t>Added (verified)</t>
        </is>
      </c>
      <c r="N73" s="17" t="str">
        <f>IF(M73="Added (verified)","Yes","No")</f>
        <v>Yes</v>
      </c>
      <c r="O73" s="17" t="inlineStr">
        <is>
          <t>F16</t>
        </is>
      </c>
      <c r="P73" s="18" t="inlineStr">
        <is>
          <t>Runs on SQLite.</t>
        </is>
      </c>
    </row>
    <row r="74" ht="41.7" customHeight="1">
      <c r="A74" s="17" t="n">
        <v>15</v>
      </c>
      <c r="B74" s="18" t="inlineStr">
        <is>
          <t>Data Modification &amp; Schema</t>
        </is>
      </c>
      <c r="C74" s="18" t="inlineStr">
        <is>
          <t>ALTER TABLE &amp; Constraints</t>
        </is>
      </c>
      <c r="D74" s="17" t="inlineStr">
        <is>
          <t>Q3</t>
        </is>
      </c>
      <c r="E74" s="18" t="inlineStr">
        <is>
          <t>Practice - Create Table with Constraints (GSQ57)</t>
        </is>
      </c>
      <c r="F74" s="17" t="inlineStr">
        <is>
          <t>CodeChef</t>
        </is>
      </c>
      <c r="G74" s="18" t="inlineStr">
        <is>
          <t>Medium (CodeChef: easy)</t>
        </is>
      </c>
      <c r="H74" s="19" t="str">
        <f>HYPERLINK("https://www.codechef.com/learn/course/sql/SQ00LS03/problems/GSQ57","https://www.codechef.com/learn/course/sql/SQ00LS03/problems/GSQ57")</f>
        <v>https://www.codechef.com/learn/course/sql/SQ00LS03/problems/GSQ57</v>
      </c>
      <c r="I74" s="18" t="inlineStr">
        <is>
          <t>Yes – free (non-Pro) lesson of CodeChef 'Learn SQL'; free account to submit</t>
        </is>
      </c>
      <c r="J74" s="18" t="inlineStr">
        <is>
          <t>Fixing a script that breaks PRIMARY KEY / UNIQUE rules</t>
        </is>
      </c>
      <c r="K74" s="18" t="inlineStr">
        <is>
          <t>T2 CREATE TABLE &amp; INSERT</t>
        </is>
      </c>
      <c r="L74" s="18" t="inlineStr">
        <is>
          <t>Yes – corrected CREATE TABLE with PK / UNIQUE and valid INSERT rows</t>
        </is>
      </c>
      <c r="M74" s="18" t="inlineStr">
        <is>
          <t>Added (verified)</t>
        </is>
      </c>
      <c r="N74" s="17" t="str">
        <f>IF(M74="Added (verified)","Yes","No")</f>
        <v>Yes</v>
      </c>
      <c r="O74" s="17" t="inlineStr">
        <is>
          <t>G16</t>
        </is>
      </c>
      <c r="P74" s="18" t="inlineStr">
        <is>
          <t>Runs on SQLite.</t>
        </is>
      </c>
    </row>
    <row r="75" ht="41.7" customHeight="1">
      <c r="A75" s="17" t="n">
        <v>15</v>
      </c>
      <c r="B75" s="18" t="inlineStr">
        <is>
          <t>Data Modification &amp; Schema</t>
        </is>
      </c>
      <c r="C75" s="18" t="inlineStr">
        <is>
          <t>ALTER TABLE &amp; Constraints</t>
        </is>
      </c>
      <c r="D75" s="17" t="inlineStr">
        <is>
          <t>Q4</t>
        </is>
      </c>
      <c r="E75" s="18" t="inlineStr">
        <is>
          <t>Foreign Key and Unique Key (SQLKEY01)</t>
        </is>
      </c>
      <c r="F75" s="17" t="inlineStr">
        <is>
          <t>CodeChef</t>
        </is>
      </c>
      <c r="G75" s="18" t="inlineStr">
        <is>
          <t>Medium (CodeChef: easy)</t>
        </is>
      </c>
      <c r="H75" s="19" t="str">
        <f>HYPERLINK("https://www.codechef.com/learn/course/sql-intermediate/SQ00BS02/problems/SQLKEY01","https://www.codechef.com/learn/course/sql-intermediate/SQ00BS02/problems/SQLKEY01")</f>
        <v>https://www.codechef.com/learn/course/sql-intermediate/SQ00BS02/problems/SQLKEY01</v>
      </c>
      <c r="I75" s="18" t="inlineStr">
        <is>
          <t>Yes – free (non-Pro) lesson of CodeChef 'Learn Advanced SQL'; free account to submit</t>
        </is>
      </c>
      <c r="J75" s="18" t="inlineStr">
        <is>
          <t>FOREIGN KEY ... REFERENCES + UNIQUE</t>
        </is>
      </c>
      <c r="K75" s="18" t="inlineStr">
        <is>
          <t>T2 CREATE TABLE</t>
        </is>
      </c>
      <c r="L75" s="18" t="inlineStr">
        <is>
          <t>Yes – two CREATE TABLE statements linked by a foreign key</t>
        </is>
      </c>
      <c r="M75" s="18" t="inlineStr">
        <is>
          <t>Added (verified)</t>
        </is>
      </c>
      <c r="N75" s="17" t="str">
        <f>IF(M75="Added (verified)","Yes","No")</f>
        <v>Yes</v>
      </c>
      <c r="O75" s="17" t="inlineStr">
        <is>
          <t>H16</t>
        </is>
      </c>
      <c r="P75" s="18" t="inlineStr">
        <is>
          <t>Runs on SQLite.</t>
        </is>
      </c>
    </row>
    <row r="76" ht="41.7" customHeight="1">
      <c r="A76" s="17" t="n">
        <v>15</v>
      </c>
      <c r="B76" s="18" t="inlineStr">
        <is>
          <t>Data Modification &amp; Schema</t>
        </is>
      </c>
      <c r="C76" s="18" t="inlineStr">
        <is>
          <t>ALTER TABLE &amp; Constraints</t>
        </is>
      </c>
      <c r="D76" s="17" t="inlineStr">
        <is>
          <t>Q5</t>
        </is>
      </c>
      <c r="E76" s="18" t="inlineStr">
        <is>
          <t>Task-1 Design the Database Schema- Tables &amp; Fields (RSMSPR01)</t>
        </is>
      </c>
      <c r="F76" s="17" t="inlineStr">
        <is>
          <t>CodeChef</t>
        </is>
      </c>
      <c r="G76" s="18" t="inlineStr">
        <is>
          <t>Challenging (CodeChef: medium)</t>
        </is>
      </c>
      <c r="H76" s="19" t="str">
        <f>HYPERLINK("https://www.codechef.com/learn/course/sql/BEGSQLPR/problems/RSMSPR01","https://www.codechef.com/learn/course/sql/BEGSQLPR/problems/RSMSPR01")</f>
        <v>https://www.codechef.com/learn/course/sql/BEGSQLPR/problems/RSMSPR01</v>
      </c>
      <c r="I76" s="18" t="inlineStr">
        <is>
          <t>Yes – free (non-Pro) lesson of CodeChef 'Learn SQL'; free account to submit</t>
        </is>
      </c>
      <c r="J76" s="18" t="inlineStr">
        <is>
          <t>Full schema with PK, FK, UNIQUE, NOT NULL, CHECK and DEFAULT</t>
        </is>
      </c>
      <c r="K76" s="18" t="inlineStr">
        <is>
          <t>T2 CREATE TABLE, T5 IN</t>
        </is>
      </c>
      <c r="L76" s="18" t="inlineStr">
        <is>
          <t>Yes – CREATE TABLE statements with constraints only</t>
        </is>
      </c>
      <c r="M76" s="18" t="inlineStr">
        <is>
          <t>Added (verified)</t>
        </is>
      </c>
      <c r="N76" s="17" t="str">
        <f>IF(M76="Added (verified)","Yes","No")</f>
        <v>Yes</v>
      </c>
      <c r="O76" s="17" t="inlineStr">
        <is>
          <t>I16</t>
        </is>
      </c>
      <c r="P76" s="18" t="inlineStr">
        <is>
          <t>Lesson of the free 'Retail store management system' project; the tables it needs are pre-loaded and shown in the statement. Runs on SQLite.</t>
        </is>
      </c>
    </row>
    <row r="77" ht="41.7" customHeight="1">
      <c r="A77" s="17" t="n">
        <v>16</v>
      </c>
      <c r="B77" s="18" t="inlineStr">
        <is>
          <t>Joins</t>
        </is>
      </c>
      <c r="C77" s="18" t="inlineStr">
        <is>
          <t>INNER JOIN</t>
        </is>
      </c>
      <c r="D77" s="17" t="inlineStr">
        <is>
          <t>Q1</t>
        </is>
      </c>
      <c r="E77" s="18" t="inlineStr">
        <is>
          <t>1068. Product Sales Analysis I</t>
        </is>
      </c>
      <c r="F77" s="17" t="inlineStr">
        <is>
          <t>LeetCode</t>
        </is>
      </c>
      <c r="G77" s="18" t="inlineStr">
        <is>
          <t>Easy (LeetCode: Easy)</t>
        </is>
      </c>
      <c r="H77" s="19" t="str">
        <f>HYPERLINK("https://leetcode.com/problems/product-sales-analysis-i/","https://leetcode.com/problems/product-sales-analysis-i/")</f>
        <v>https://leetcode.com/problems/product-sales-analysis-i/</v>
      </c>
      <c r="I77" s="18" t="inlineStr">
        <is>
          <t>Yes – free problem (not Premium); free LeetCode account to submit</t>
        </is>
      </c>
      <c r="J77" s="18" t="inlineStr">
        <is>
          <t>Two-table INNER JOIN</t>
        </is>
      </c>
      <c r="K77" s="18" t="inlineStr">
        <is>
          <t>T1 SELECT</t>
        </is>
      </c>
      <c r="L77" s="18" t="inlineStr">
        <is>
          <t>Yes – Sales JOIN Product ON product_id</t>
        </is>
      </c>
      <c r="M77" s="18" t="inlineStr">
        <is>
          <t>Added (verified)</t>
        </is>
      </c>
      <c r="N77" s="17" t="str">
        <f>IF(M77="Added (verified)","Yes","No")</f>
        <v>Yes</v>
      </c>
      <c r="O77" s="17" t="inlineStr">
        <is>
          <t>E17</t>
        </is>
      </c>
      <c r="P77" s="18" t="inlineStr">
        <is>
          <t>Engines: MySQL, MS SQL Server, Oracle, PostgreSQL.</t>
        </is>
      </c>
    </row>
    <row r="78" ht="28.8" customHeight="1">
      <c r="A78" s="17" t="n">
        <v>16</v>
      </c>
      <c r="B78" s="18" t="inlineStr">
        <is>
          <t>Joins</t>
        </is>
      </c>
      <c r="C78" s="18" t="inlineStr">
        <is>
          <t>INNER JOIN</t>
        </is>
      </c>
      <c r="D78" s="17" t="inlineStr">
        <is>
          <t>Q2</t>
        </is>
      </c>
      <c r="E78" s="18" t="inlineStr">
        <is>
          <t>African Cities</t>
        </is>
      </c>
      <c r="F78" s="17" t="inlineStr">
        <is>
          <t>HackerRank</t>
        </is>
      </c>
      <c r="G78" s="18" t="inlineStr">
        <is>
          <t>Easy (HackerRank: Easy)</t>
        </is>
      </c>
      <c r="H78" s="19" t="str">
        <f>HYPERLINK("https://www.hackerrank.com/challenges/african-cities/problem","https://www.hackerrank.com/challenges/african-cities/problem")</f>
        <v>https://www.hackerrank.com/challenges/african-cities/problem</v>
      </c>
      <c r="I78" s="18" t="inlineStr">
        <is>
          <t>Yes – free; free HackerRank account to submit</t>
        </is>
      </c>
      <c r="J78" s="18" t="inlineStr">
        <is>
          <t>INNER JOIN + WHERE on the joined table</t>
        </is>
      </c>
      <c r="K78" s="18" t="inlineStr">
        <is>
          <t>T3 WHERE</t>
        </is>
      </c>
      <c r="L78" s="18" t="inlineStr">
        <is>
          <t>Yes – CITY JOIN COUNTRY ON CountryCode = Code WHERE Continent = 'Africa'</t>
        </is>
      </c>
      <c r="M78" s="18" t="inlineStr">
        <is>
          <t>Added (verified)</t>
        </is>
      </c>
      <c r="N78" s="17" t="str">
        <f>IF(M78="Added (verified)","Yes","No")</f>
        <v>Yes</v>
      </c>
      <c r="O78" s="17" t="inlineStr">
        <is>
          <t>F17</t>
        </is>
      </c>
      <c r="P78" s="18" t="inlineStr">
        <is>
          <t>Engines: MySQL, MS SQL Server, Oracle (no DB2).</t>
        </is>
      </c>
    </row>
    <row r="79" ht="41.7" customHeight="1">
      <c r="A79" s="17" t="n">
        <v>16</v>
      </c>
      <c r="B79" s="18" t="inlineStr">
        <is>
          <t>Joins</t>
        </is>
      </c>
      <c r="C79" s="18" t="inlineStr">
        <is>
          <t>INNER JOIN</t>
        </is>
      </c>
      <c r="D79" s="17" t="inlineStr">
        <is>
          <t>Q3</t>
        </is>
      </c>
      <c r="E79" s="18" t="inlineStr">
        <is>
          <t>Inner Joins (GSQ62)</t>
        </is>
      </c>
      <c r="F79" s="17" t="inlineStr">
        <is>
          <t>CodeChef</t>
        </is>
      </c>
      <c r="G79" s="18" t="inlineStr">
        <is>
          <t>Easy (CodeChef: easy)</t>
        </is>
      </c>
      <c r="H79" s="19" t="str">
        <f>HYPERLINK("https://www.codechef.com/learn/course/sql-intermediate/SQ00BS01/problems/GSQ62","https://www.codechef.com/learn/course/sql-intermediate/SQ00BS01/problems/GSQ62")</f>
        <v>https://www.codechef.com/learn/course/sql-intermediate/SQ00BS01/problems/GSQ62</v>
      </c>
      <c r="I79" s="18" t="inlineStr">
        <is>
          <t>Yes – free (non-Pro) lesson of CodeChef 'Learn Advanced SQL'; free account to submit</t>
        </is>
      </c>
      <c r="J79" s="18" t="inlineStr">
        <is>
          <t>JOIN ... ON a matching key</t>
        </is>
      </c>
      <c r="K79" s="18" t="inlineStr">
        <is>
          <t>T1 SELECT</t>
        </is>
      </c>
      <c r="L79" s="18" t="inlineStr">
        <is>
          <t>Yes – student JOIN course ON Course_id</t>
        </is>
      </c>
      <c r="M79" s="18" t="inlineStr">
        <is>
          <t>Added (verified)</t>
        </is>
      </c>
      <c r="N79" s="17" t="str">
        <f>IF(M79="Added (verified)","Yes","No")</f>
        <v>Yes</v>
      </c>
      <c r="O79" s="17" t="inlineStr">
        <is>
          <t>G17</t>
        </is>
      </c>
      <c r="P79" s="18" t="inlineStr">
        <is>
          <t>Runs on SQLite.</t>
        </is>
      </c>
    </row>
    <row r="80" ht="28.8" customHeight="1">
      <c r="A80" s="17" t="n">
        <v>16</v>
      </c>
      <c r="B80" s="18" t="inlineStr">
        <is>
          <t>Joins</t>
        </is>
      </c>
      <c r="C80" s="18" t="inlineStr">
        <is>
          <t>INNER JOIN</t>
        </is>
      </c>
      <c r="D80" s="17" t="inlineStr">
        <is>
          <t>Q4</t>
        </is>
      </c>
      <c r="E80" s="18" t="inlineStr">
        <is>
          <t>The Report</t>
        </is>
      </c>
      <c r="F80" s="17" t="inlineStr">
        <is>
          <t>HackerRank</t>
        </is>
      </c>
      <c r="G80" s="18" t="inlineStr">
        <is>
          <t>Medium (HackerRank: Medium)</t>
        </is>
      </c>
      <c r="H80" s="19" t="str">
        <f>HYPERLINK("https://www.hackerrank.com/challenges/the-report/problem","https://www.hackerrank.com/challenges/the-report/problem")</f>
        <v>https://www.hackerrank.com/challenges/the-report/problem</v>
      </c>
      <c r="I80" s="18" t="inlineStr">
        <is>
          <t>Yes – free; free HackerRank account to submit</t>
        </is>
      </c>
      <c r="J80" s="18" t="inlineStr">
        <is>
          <t>Non-equi JOIN (BETWEEN) + CASE to hide names</t>
        </is>
      </c>
      <c r="K80" s="18" t="inlineStr">
        <is>
          <t>T4 ORDER BY, T5 BETWEEN, T11 CASE</t>
        </is>
      </c>
      <c r="L80" s="18" t="inlineStr">
        <is>
          <t>Yes – JOIN Grades ON Marks BETWEEN Min_Mark AND Max_Mark, CASE for grades below 8</t>
        </is>
      </c>
      <c r="M80" s="18" t="inlineStr">
        <is>
          <t>Added (verified)</t>
        </is>
      </c>
      <c r="N80" s="17" t="str">
        <f>IF(M80="Added (verified)","Yes","No")</f>
        <v>Yes</v>
      </c>
      <c r="O80" s="17" t="inlineStr">
        <is>
          <t>H17</t>
        </is>
      </c>
      <c r="P80" s="18" t="inlineStr">
        <is>
          <t>Engines: MySQL, MS SQL Server, Oracle, DB2.</t>
        </is>
      </c>
    </row>
    <row r="81" ht="28.8" customHeight="1">
      <c r="A81" s="17" t="n">
        <v>16</v>
      </c>
      <c r="B81" s="18" t="inlineStr">
        <is>
          <t>Joins</t>
        </is>
      </c>
      <c r="C81" s="18" t="inlineStr">
        <is>
          <t>INNER JOIN</t>
        </is>
      </c>
      <c r="D81" s="17" t="inlineStr">
        <is>
          <t>Q5</t>
        </is>
      </c>
      <c r="E81" s="18" t="inlineStr">
        <is>
          <t>Top Competitors</t>
        </is>
      </c>
      <c r="F81" s="17" t="inlineStr">
        <is>
          <t>HackerRank</t>
        </is>
      </c>
      <c r="G81" s="18" t="inlineStr">
        <is>
          <t>Challenging (HackerRank: Medium)</t>
        </is>
      </c>
      <c r="H81" s="19" t="str">
        <f>HYPERLINK("https://www.hackerrank.com/challenges/full-score/problem","https://www.hackerrank.com/challenges/full-score/problem")</f>
        <v>https://www.hackerrank.com/challenges/full-score/problem</v>
      </c>
      <c r="I81" s="18" t="inlineStr">
        <is>
          <t>Yes – free; free HackerRank account to submit</t>
        </is>
      </c>
      <c r="J81" s="18" t="inlineStr">
        <is>
          <t>Four-table join + GROUP BY / HAVING</t>
        </is>
      </c>
      <c r="K81" s="18" t="inlineStr">
        <is>
          <t>T4 ORDER BY, T9 GROUP BY, T10 HAVING</t>
        </is>
      </c>
      <c r="L81" s="18" t="inlineStr">
        <is>
          <t>Yes – joins on hacker, challenge and difficulty, HAVING COUNT(*) &gt; 1</t>
        </is>
      </c>
      <c r="M81" s="18" t="inlineStr">
        <is>
          <t>Added (verified)</t>
        </is>
      </c>
      <c r="N81" s="17" t="str">
        <f>IF(M81="Added (verified)","Yes","No")</f>
        <v>Yes</v>
      </c>
      <c r="O81" s="17" t="inlineStr">
        <is>
          <t>I17</t>
        </is>
      </c>
      <c r="P81" s="18" t="inlineStr">
        <is>
          <t>Engines: MySQL, MS SQL Server, Oracle, DB2.</t>
        </is>
      </c>
    </row>
    <row r="82" ht="41.7" customHeight="1">
      <c r="A82" s="17" t="n">
        <v>17</v>
      </c>
      <c r="B82" s="18" t="inlineStr">
        <is>
          <t>Joins</t>
        </is>
      </c>
      <c r="C82" s="18" t="inlineStr">
        <is>
          <t>LEFT / RIGHT / FULL OUTER JOIN</t>
        </is>
      </c>
      <c r="D82" s="17" t="inlineStr">
        <is>
          <t>Q1</t>
        </is>
      </c>
      <c r="E82" s="18" t="inlineStr">
        <is>
          <t>175. Combine Two Tables</t>
        </is>
      </c>
      <c r="F82" s="17" t="inlineStr">
        <is>
          <t>LeetCode</t>
        </is>
      </c>
      <c r="G82" s="18" t="inlineStr">
        <is>
          <t>Easy (LeetCode: Easy)</t>
        </is>
      </c>
      <c r="H82" s="19" t="str">
        <f>HYPERLINK("https://leetcode.com/problems/combine-two-tables/","https://leetcode.com/problems/combine-two-tables/")</f>
        <v>https://leetcode.com/problems/combine-two-tables/</v>
      </c>
      <c r="I82" s="18" t="inlineStr">
        <is>
          <t>Yes – free problem (not Premium); free LeetCode account to submit</t>
        </is>
      </c>
      <c r="J82" s="18" t="inlineStr">
        <is>
          <t>LEFT JOIN keeping unmatched rows</t>
        </is>
      </c>
      <c r="K82" s="18" t="inlineStr">
        <is>
          <t>T16 JOIN</t>
        </is>
      </c>
      <c r="L82" s="18" t="inlineStr">
        <is>
          <t>Yes – Person LEFT JOIN Address ON personId</t>
        </is>
      </c>
      <c r="M82" s="18" t="inlineStr">
        <is>
          <t>Added (verified)</t>
        </is>
      </c>
      <c r="N82" s="17" t="str">
        <f>IF(M82="Added (verified)","Yes","No")</f>
        <v>Yes</v>
      </c>
      <c r="O82" s="17" t="inlineStr">
        <is>
          <t>E18</t>
        </is>
      </c>
      <c r="P82" s="18" t="inlineStr">
        <is>
          <t>Engines: MySQL, MS SQL Server, Oracle, PostgreSQL.</t>
        </is>
      </c>
    </row>
    <row r="83" ht="41.7" customHeight="1">
      <c r="A83" s="17" t="n">
        <v>17</v>
      </c>
      <c r="B83" s="18" t="inlineStr">
        <is>
          <t>Joins</t>
        </is>
      </c>
      <c r="C83" s="18" t="inlineStr">
        <is>
          <t>LEFT / RIGHT / FULL OUTER JOIN</t>
        </is>
      </c>
      <c r="D83" s="17" t="inlineStr">
        <is>
          <t>Q2</t>
        </is>
      </c>
      <c r="E83" s="18" t="inlineStr">
        <is>
          <t>1378. Replace Employee ID With The Unique Identifier</t>
        </is>
      </c>
      <c r="F83" s="17" t="inlineStr">
        <is>
          <t>LeetCode</t>
        </is>
      </c>
      <c r="G83" s="18" t="inlineStr">
        <is>
          <t>Easy (LeetCode: Easy)</t>
        </is>
      </c>
      <c r="H83" s="19" t="str">
        <f>HYPERLINK("https://leetcode.com/problems/replace-employee-id-with-the-unique-identifier/","https://leetcode.com/problems/replace-employee-id-with-the-unique-identifier/")</f>
        <v>https://leetcode.com/problems/replace-employee-id-with-the-unique-identifier/</v>
      </c>
      <c r="I83" s="18" t="inlineStr">
        <is>
          <t>Yes – free problem (not Premium); free LeetCode account to submit</t>
        </is>
      </c>
      <c r="J83" s="18" t="inlineStr">
        <is>
          <t>LEFT JOIN returning NULL where no match</t>
        </is>
      </c>
      <c r="K83" s="18" t="inlineStr">
        <is>
          <t>T16 JOIN</t>
        </is>
      </c>
      <c r="L83" s="18" t="inlineStr">
        <is>
          <t>Yes – Employees LEFT JOIN EmployeeUNI ON id</t>
        </is>
      </c>
      <c r="M83" s="18" t="inlineStr">
        <is>
          <t>Added (verified)</t>
        </is>
      </c>
      <c r="N83" s="17" t="str">
        <f>IF(M83="Added (verified)","Yes","No")</f>
        <v>Yes</v>
      </c>
      <c r="O83" s="17" t="inlineStr">
        <is>
          <t>F18</t>
        </is>
      </c>
      <c r="P83" s="18" t="inlineStr">
        <is>
          <t>Engines: MySQL, MS SQL Server, Oracle, PostgreSQL.</t>
        </is>
      </c>
    </row>
    <row r="84" ht="41.7" customHeight="1">
      <c r="A84" s="17" t="n">
        <v>17</v>
      </c>
      <c r="B84" s="18" t="inlineStr">
        <is>
          <t>Joins</t>
        </is>
      </c>
      <c r="C84" s="18" t="inlineStr">
        <is>
          <t>LEFT / RIGHT / FULL OUTER JOIN</t>
        </is>
      </c>
      <c r="D84" s="17" t="inlineStr">
        <is>
          <t>Q3</t>
        </is>
      </c>
      <c r="E84" s="18" t="inlineStr">
        <is>
          <t>Full Outer Joins (ASQL01B)</t>
        </is>
      </c>
      <c r="F84" s="17" t="inlineStr">
        <is>
          <t>CodeChef</t>
        </is>
      </c>
      <c r="G84" s="18" t="inlineStr">
        <is>
          <t>Medium (CodeChef: medium)</t>
        </is>
      </c>
      <c r="H84" s="19" t="str">
        <f>HYPERLINK("https://www.codechef.com/learn/course/sql-intermediate/SQ00BS01/problems/ASQL01B","https://www.codechef.com/learn/course/sql-intermediate/SQ00BS01/problems/ASQL01B")</f>
        <v>https://www.codechef.com/learn/course/sql-intermediate/SQ00BS01/problems/ASQL01B</v>
      </c>
      <c r="I84" s="18" t="inlineStr">
        <is>
          <t>Yes – free (non-Pro) lesson of CodeChef 'Learn Advanced SQL'; free account to submit</t>
        </is>
      </c>
      <c r="J84" s="18" t="inlineStr">
        <is>
          <t>FULL OUTER JOIN</t>
        </is>
      </c>
      <c r="K84" s="18" t="inlineStr">
        <is>
          <t>T16 JOIN</t>
        </is>
      </c>
      <c r="L84" s="18" t="inlineStr">
        <is>
          <t>Yes – student FULL OUTER JOIN course ON Course_id</t>
        </is>
      </c>
      <c r="M84" s="18" t="inlineStr">
        <is>
          <t>Added (verified)</t>
        </is>
      </c>
      <c r="N84" s="17" t="str">
        <f>IF(M84="Added (verified)","Yes","No")</f>
        <v>Yes</v>
      </c>
      <c r="O84" s="17" t="inlineStr">
        <is>
          <t>G18</t>
        </is>
      </c>
      <c r="P84" s="18" t="inlineStr">
        <is>
          <t>Runs on SQLite.</t>
        </is>
      </c>
    </row>
    <row r="85" ht="41.7" customHeight="1">
      <c r="A85" s="17" t="n">
        <v>17</v>
      </c>
      <c r="B85" s="18" t="inlineStr">
        <is>
          <t>Joins</t>
        </is>
      </c>
      <c r="C85" s="18" t="inlineStr">
        <is>
          <t>LEFT / RIGHT / FULL OUTER JOIN</t>
        </is>
      </c>
      <c r="D85" s="17" t="inlineStr">
        <is>
          <t>Q4</t>
        </is>
      </c>
      <c r="E85" s="18" t="inlineStr">
        <is>
          <t>1581. Customer Who Visited but Did Not Make Any Transactions</t>
        </is>
      </c>
      <c r="F85" s="17" t="inlineStr">
        <is>
          <t>LeetCode</t>
        </is>
      </c>
      <c r="G85" s="18" t="inlineStr">
        <is>
          <t>Medium (LeetCode: Easy)</t>
        </is>
      </c>
      <c r="H85" s="19" t="str">
        <f>HYPERLINK("https://leetcode.com/problems/customer-who-visited-but-did-not-make-any-transactions/","https://leetcode.com/problems/customer-who-visited-but-did-not-make-any-transactions/")</f>
        <v>https://leetcode.com/problems/customer-who-visited-but-did-not-make-any-transactions/</v>
      </c>
      <c r="I85" s="18" t="inlineStr">
        <is>
          <t>Yes – free problem (not Premium); free LeetCode account to submit</t>
        </is>
      </c>
      <c r="J85" s="18" t="inlineStr">
        <is>
          <t>LEFT JOIN ... IS NULL (anti-join) + COUNT per customer</t>
        </is>
      </c>
      <c r="K85" s="18" t="inlineStr">
        <is>
          <t>T3 IS NULL, T9 GROUP BY</t>
        </is>
      </c>
      <c r="L85" s="18" t="inlineStr">
        <is>
          <t>Yes – Visits LEFT JOIN Transactions ... WHERE transaction_id IS NULL GROUP BY customer_id</t>
        </is>
      </c>
      <c r="M85" s="18" t="inlineStr">
        <is>
          <t>Added (verified)</t>
        </is>
      </c>
      <c r="N85" s="17" t="str">
        <f>IF(M85="Added (verified)","Yes","No")</f>
        <v>Yes</v>
      </c>
      <c r="O85" s="17" t="inlineStr">
        <is>
          <t>H18</t>
        </is>
      </c>
      <c r="P85" s="18" t="inlineStr">
        <is>
          <t>Engines: MySQL, MS SQL Server, Oracle, PostgreSQL.</t>
        </is>
      </c>
    </row>
    <row r="86" ht="41.7" customHeight="1">
      <c r="A86" s="17" t="n">
        <v>17</v>
      </c>
      <c r="B86" s="18" t="inlineStr">
        <is>
          <t>Joins</t>
        </is>
      </c>
      <c r="C86" s="18" t="inlineStr">
        <is>
          <t>LEFT / RIGHT / FULL OUTER JOIN</t>
        </is>
      </c>
      <c r="D86" s="17" t="inlineStr">
        <is>
          <t>Q5</t>
        </is>
      </c>
      <c r="E86" s="18" t="inlineStr">
        <is>
          <t>1251. Average Selling Price</t>
        </is>
      </c>
      <c r="F86" s="17" t="inlineStr">
        <is>
          <t>LeetCode</t>
        </is>
      </c>
      <c r="G86" s="18" t="inlineStr">
        <is>
          <t>Challenging (LeetCode: Easy)</t>
        </is>
      </c>
      <c r="H86" s="19" t="str">
        <f>HYPERLINK("https://leetcode.com/problems/average-selling-price/","https://leetcode.com/problems/average-selling-price/")</f>
        <v>https://leetcode.com/problems/average-selling-price/</v>
      </c>
      <c r="I86" s="18" t="inlineStr">
        <is>
          <t>Yes – free problem (not Premium); free LeetCode account to submit</t>
        </is>
      </c>
      <c r="J86" s="18" t="inlineStr">
        <is>
          <t>LEFT JOIN on a date-range condition + weighted average + IFNULL</t>
        </is>
      </c>
      <c r="K86" s="18" t="inlineStr">
        <is>
          <t>T5 BETWEEN, T8 ROUND, T9 GROUP BY</t>
        </is>
      </c>
      <c r="L86" s="18" t="inlineStr">
        <is>
          <t>Yes – LEFT JOIN UnitsSold ON product_id AND purchase_date BETWEEN start_date AND end_date</t>
        </is>
      </c>
      <c r="M86" s="18" t="inlineStr">
        <is>
          <t>Added (verified)</t>
        </is>
      </c>
      <c r="N86" s="17" t="str">
        <f>IF(M86="Added (verified)","Yes","No")</f>
        <v>Yes</v>
      </c>
      <c r="O86" s="17" t="inlineStr">
        <is>
          <t>I18</t>
        </is>
      </c>
      <c r="P86" s="18" t="inlineStr">
        <is>
          <t>Engines: MySQL, MS SQL Server, Oracle, PostgreSQL.</t>
        </is>
      </c>
    </row>
    <row r="87" ht="41.7" customHeight="1">
      <c r="A87" s="17" t="n">
        <v>18</v>
      </c>
      <c r="B87" s="18" t="inlineStr">
        <is>
          <t>Joins</t>
        </is>
      </c>
      <c r="C87" s="18" t="inlineStr">
        <is>
          <t>SELF JOIN &amp; CROSS JOIN</t>
        </is>
      </c>
      <c r="D87" s="17" t="inlineStr">
        <is>
          <t>Q1</t>
        </is>
      </c>
      <c r="E87" s="18" t="inlineStr">
        <is>
          <t>181. Employees Earning More Than Their Managers</t>
        </is>
      </c>
      <c r="F87" s="17" t="inlineStr">
        <is>
          <t>LeetCode</t>
        </is>
      </c>
      <c r="G87" s="18" t="inlineStr">
        <is>
          <t>Easy (LeetCode: Easy)</t>
        </is>
      </c>
      <c r="H87" s="19" t="str">
        <f>HYPERLINK("https://leetcode.com/problems/employees-earning-more-than-their-managers/","https://leetcode.com/problems/employees-earning-more-than-their-managers/")</f>
        <v>https://leetcode.com/problems/employees-earning-more-than-their-managers/</v>
      </c>
      <c r="I87" s="18" t="inlineStr">
        <is>
          <t>Yes – free problem (not Premium); free LeetCode account to submit</t>
        </is>
      </c>
      <c r="J87" s="18" t="inlineStr">
        <is>
          <t>SELF JOIN with table aliases</t>
        </is>
      </c>
      <c r="K87" s="18" t="inlineStr">
        <is>
          <t>T16 JOIN</t>
        </is>
      </c>
      <c r="L87" s="18" t="inlineStr">
        <is>
          <t>Yes – Employee e JOIN Employee m ON e.managerId = m.id WHERE e.salary &gt; m.salary</t>
        </is>
      </c>
      <c r="M87" s="18" t="inlineStr">
        <is>
          <t>Added (verified)</t>
        </is>
      </c>
      <c r="N87" s="17" t="str">
        <f>IF(M87="Added (verified)","Yes","No")</f>
        <v>Yes</v>
      </c>
      <c r="O87" s="17" t="inlineStr">
        <is>
          <t>E19</t>
        </is>
      </c>
      <c r="P87" s="18" t="inlineStr">
        <is>
          <t>Engines: MySQL, MS SQL Server, Oracle, PostgreSQL.</t>
        </is>
      </c>
    </row>
    <row r="88" ht="41.7" customHeight="1">
      <c r="A88" s="17" t="n">
        <v>18</v>
      </c>
      <c r="B88" s="18" t="inlineStr">
        <is>
          <t>Joins</t>
        </is>
      </c>
      <c r="C88" s="18" t="inlineStr">
        <is>
          <t>SELF JOIN &amp; CROSS JOIN</t>
        </is>
      </c>
      <c r="D88" s="17" t="inlineStr">
        <is>
          <t>Q2</t>
        </is>
      </c>
      <c r="E88" s="18" t="inlineStr">
        <is>
          <t>Self Joins (ASQL01C)</t>
        </is>
      </c>
      <c r="F88" s="17" t="inlineStr">
        <is>
          <t>CodeChef</t>
        </is>
      </c>
      <c r="G88" s="18" t="inlineStr">
        <is>
          <t>Easy (CodeChef: easy)</t>
        </is>
      </c>
      <c r="H88" s="19" t="str">
        <f>HYPERLINK("https://www.codechef.com/learn/course/sql-intermediate/SQ00BS01/problems/ASQL01C","https://www.codechef.com/learn/course/sql-intermediate/SQ00BS01/problems/ASQL01C")</f>
        <v>https://www.codechef.com/learn/course/sql-intermediate/SQ00BS01/problems/ASQL01C</v>
      </c>
      <c r="I88" s="18" t="inlineStr">
        <is>
          <t>Yes – free (non-Pro) lesson of CodeChef 'Learn Advanced SQL'; free account to submit</t>
        </is>
      </c>
      <c r="J88" s="18" t="inlineStr">
        <is>
          <t>SELF JOIN to pair rows of one table</t>
        </is>
      </c>
      <c r="K88" s="18" t="inlineStr">
        <is>
          <t>T4 DISTINCT / ORDER BY, T16 JOIN</t>
        </is>
      </c>
      <c r="L88" s="18" t="inlineStr">
        <is>
          <t>Yes – student s1 JOIN student s2 on department / course, s1.St_id != s2.St_id</t>
        </is>
      </c>
      <c r="M88" s="18" t="inlineStr">
        <is>
          <t>Added (verified)</t>
        </is>
      </c>
      <c r="N88" s="17" t="str">
        <f>IF(M88="Added (verified)","Yes","No")</f>
        <v>Yes</v>
      </c>
      <c r="O88" s="17" t="inlineStr">
        <is>
          <t>F19</t>
        </is>
      </c>
      <c r="P88" s="18" t="inlineStr">
        <is>
          <t>Runs on SQLite.</t>
        </is>
      </c>
    </row>
    <row r="89" ht="41.7" customHeight="1">
      <c r="A89" s="17" t="n">
        <v>18</v>
      </c>
      <c r="B89" s="18" t="inlineStr">
        <is>
          <t>Joins</t>
        </is>
      </c>
      <c r="C89" s="18" t="inlineStr">
        <is>
          <t>SELF JOIN &amp; CROSS JOIN</t>
        </is>
      </c>
      <c r="D89" s="17" t="inlineStr">
        <is>
          <t>Q3</t>
        </is>
      </c>
      <c r="E89" s="18" t="inlineStr">
        <is>
          <t>1280. Students and Examinations</t>
        </is>
      </c>
      <c r="F89" s="17" t="inlineStr">
        <is>
          <t>LeetCode</t>
        </is>
      </c>
      <c r="G89" s="18" t="inlineStr">
        <is>
          <t>Medium (LeetCode: Easy)</t>
        </is>
      </c>
      <c r="H89" s="19" t="str">
        <f>HYPERLINK("https://leetcode.com/problems/students-and-examinations/","https://leetcode.com/problems/students-and-examinations/")</f>
        <v>https://leetcode.com/problems/students-and-examinations/</v>
      </c>
      <c r="I89" s="18" t="inlineStr">
        <is>
          <t>Yes – free problem (not Premium); free LeetCode account to submit</t>
        </is>
      </c>
      <c r="J89" s="18" t="inlineStr">
        <is>
          <t>CROSS JOIN to build every pair, then LEFT JOIN + COUNT</t>
        </is>
      </c>
      <c r="K89" s="18" t="inlineStr">
        <is>
          <t>T9 GROUP BY, T17 LEFT JOIN</t>
        </is>
      </c>
      <c r="L89" s="18" t="inlineStr">
        <is>
          <t>Yes – Students CROSS JOIN Subjects LEFT JOIN Examinations ... GROUP BY</t>
        </is>
      </c>
      <c r="M89" s="18" t="inlineStr">
        <is>
          <t>Added (verified)</t>
        </is>
      </c>
      <c r="N89" s="17" t="str">
        <f>IF(M89="Added (verified)","Yes","No")</f>
        <v>Yes</v>
      </c>
      <c r="O89" s="17" t="inlineStr">
        <is>
          <t>G19</t>
        </is>
      </c>
      <c r="P89" s="18" t="inlineStr">
        <is>
          <t>Engines: MySQL, MS SQL Server, Oracle, PostgreSQL.</t>
        </is>
      </c>
    </row>
    <row r="90" ht="41.7" customHeight="1">
      <c r="A90" s="17" t="n">
        <v>18</v>
      </c>
      <c r="B90" s="18" t="inlineStr">
        <is>
          <t>Joins</t>
        </is>
      </c>
      <c r="C90" s="18" t="inlineStr">
        <is>
          <t>SELF JOIN &amp; CROSS JOIN</t>
        </is>
      </c>
      <c r="D90" s="17" t="inlineStr">
        <is>
          <t>Q4</t>
        </is>
      </c>
      <c r="E90" s="18" t="inlineStr">
        <is>
          <t>197. Rising Temperature</t>
        </is>
      </c>
      <c r="F90" s="17" t="inlineStr">
        <is>
          <t>LeetCode</t>
        </is>
      </c>
      <c r="G90" s="18" t="inlineStr">
        <is>
          <t>Medium (LeetCode: Easy)</t>
        </is>
      </c>
      <c r="H90" s="19" t="str">
        <f>HYPERLINK("https://leetcode.com/problems/rising-temperature/","https://leetcode.com/problems/rising-temperature/")</f>
        <v>https://leetcode.com/problems/rising-temperature/</v>
      </c>
      <c r="I90" s="18" t="inlineStr">
        <is>
          <t>Yes – free problem (not Premium); free LeetCode account to submit</t>
        </is>
      </c>
      <c r="J90" s="18" t="inlineStr">
        <is>
          <t>SELF JOIN on consecutive dates</t>
        </is>
      </c>
      <c r="K90" s="18" t="inlineStr">
        <is>
          <t>T12 DATEDIFF / DATE_ADD</t>
        </is>
      </c>
      <c r="L90" s="18" t="inlineStr">
        <is>
          <t>Yes – Weather w1 JOIN Weather w2 ON DATEDIFF(w1.recordDate, w2.recordDate) = 1</t>
        </is>
      </c>
      <c r="M90" s="18" t="inlineStr">
        <is>
          <t>Added (verified)</t>
        </is>
      </c>
      <c r="N90" s="17" t="str">
        <f>IF(M90="Added (verified)","Yes","No")</f>
        <v>Yes</v>
      </c>
      <c r="O90" s="17" t="inlineStr">
        <is>
          <t>H19</t>
        </is>
      </c>
      <c r="P90" s="18" t="inlineStr">
        <is>
          <t>Engines: MySQL, MS SQL Server, Oracle, PostgreSQL.</t>
        </is>
      </c>
    </row>
    <row r="91" ht="28.8" customHeight="1">
      <c r="A91" s="17" t="n">
        <v>18</v>
      </c>
      <c r="B91" s="18" t="inlineStr">
        <is>
          <t>Joins</t>
        </is>
      </c>
      <c r="C91" s="18" t="inlineStr">
        <is>
          <t>SELF JOIN &amp; CROSS JOIN</t>
        </is>
      </c>
      <c r="D91" s="17" t="inlineStr">
        <is>
          <t>Q5</t>
        </is>
      </c>
      <c r="E91" s="18" t="inlineStr">
        <is>
          <t>Symmetric Pairs</t>
        </is>
      </c>
      <c r="F91" s="17" t="inlineStr">
        <is>
          <t>HackerRank</t>
        </is>
      </c>
      <c r="G91" s="18" t="inlineStr">
        <is>
          <t>Challenging (HackerRank: Medium)</t>
        </is>
      </c>
      <c r="H91" s="19" t="str">
        <f>HYPERLINK("https://www.hackerrank.com/challenges/symmetric-pairs/problem","https://www.hackerrank.com/challenges/symmetric-pairs/problem")</f>
        <v>https://www.hackerrank.com/challenges/symmetric-pairs/problem</v>
      </c>
      <c r="I91" s="18" t="inlineStr">
        <is>
          <t>Yes – free; free HackerRank account to submit</t>
        </is>
      </c>
      <c r="J91" s="18" t="inlineStr">
        <is>
          <t>SELF JOIN on swapped columns + HAVING for the X = Y case</t>
        </is>
      </c>
      <c r="K91" s="18" t="inlineStr">
        <is>
          <t>T4 ORDER BY, T9 GROUP BY, T10 HAVING</t>
        </is>
      </c>
      <c r="L91" s="18" t="inlineStr">
        <is>
          <t>Yes – self join on X = Y and Y = X with GROUP BY / HAVING; UNION not required</t>
        </is>
      </c>
      <c r="M91" s="18" t="inlineStr">
        <is>
          <t>Added (verified)</t>
        </is>
      </c>
      <c r="N91" s="17" t="str">
        <f>IF(M91="Added (verified)","Yes","No")</f>
        <v>Yes</v>
      </c>
      <c r="O91" s="17" t="inlineStr">
        <is>
          <t>I19</t>
        </is>
      </c>
      <c r="P91" s="18" t="inlineStr">
        <is>
          <t>Engines: MySQL, MS SQL Server, Oracle, DB2.</t>
        </is>
      </c>
    </row>
    <row r="92" ht="41.7" customHeight="1">
      <c r="A92" s="17" t="n">
        <v>19</v>
      </c>
      <c r="B92" s="18" t="inlineStr">
        <is>
          <t>Subqueries &amp; Set Operations</t>
        </is>
      </c>
      <c r="C92" s="18" t="inlineStr">
        <is>
          <t>Subqueries</t>
        </is>
      </c>
      <c r="D92" s="17" t="inlineStr">
        <is>
          <t>Q1</t>
        </is>
      </c>
      <c r="E92" s="18" t="inlineStr">
        <is>
          <t>1978. Employees Whose Manager Left the Company</t>
        </is>
      </c>
      <c r="F92" s="17" t="inlineStr">
        <is>
          <t>LeetCode</t>
        </is>
      </c>
      <c r="G92" s="18" t="inlineStr">
        <is>
          <t>Easy (LeetCode: Easy)</t>
        </is>
      </c>
      <c r="H92" s="19" t="str">
        <f>HYPERLINK("https://leetcode.com/problems/employees-whose-manager-left-the-company/","https://leetcode.com/problems/employees-whose-manager-left-the-company/")</f>
        <v>https://leetcode.com/problems/employees-whose-manager-left-the-company/</v>
      </c>
      <c r="I92" s="18" t="inlineStr">
        <is>
          <t>Yes – free problem (not Premium); free LeetCode account to submit</t>
        </is>
      </c>
      <c r="J92" s="18" t="inlineStr">
        <is>
          <t>NOT IN (subquery)</t>
        </is>
      </c>
      <c r="K92" s="18" t="inlineStr">
        <is>
          <t>T3 WHERE, T4 ORDER BY</t>
        </is>
      </c>
      <c r="L92" s="18" t="inlineStr">
        <is>
          <t>Yes – WHERE salary &lt; 30000 AND manager_id NOT IN (SELECT employee_id FROM Employees)</t>
        </is>
      </c>
      <c r="M92" s="18" t="inlineStr">
        <is>
          <t>Added (verified)</t>
        </is>
      </c>
      <c r="N92" s="17" t="str">
        <f>IF(M92="Added (verified)","Yes","No")</f>
        <v>Yes</v>
      </c>
      <c r="O92" s="17" t="inlineStr">
        <is>
          <t>E20</t>
        </is>
      </c>
      <c r="P92" s="18" t="inlineStr">
        <is>
          <t>Engines: MySQL, MS SQL Server, Oracle, PostgreSQL.</t>
        </is>
      </c>
    </row>
    <row r="93" ht="41.7" customHeight="1">
      <c r="A93" s="17" t="n">
        <v>19</v>
      </c>
      <c r="B93" s="18" t="inlineStr">
        <is>
          <t>Subqueries &amp; Set Operations</t>
        </is>
      </c>
      <c r="C93" s="18" t="inlineStr">
        <is>
          <t>Subqueries</t>
        </is>
      </c>
      <c r="D93" s="17" t="inlineStr">
        <is>
          <t>Q2</t>
        </is>
      </c>
      <c r="E93" s="18" t="inlineStr">
        <is>
          <t>Problem - Non-Correlated Subqueries (GSQ71)</t>
        </is>
      </c>
      <c r="F93" s="17" t="inlineStr">
        <is>
          <t>CodeChef</t>
        </is>
      </c>
      <c r="G93" s="18" t="inlineStr">
        <is>
          <t>Easy (CodeChef: medium)</t>
        </is>
      </c>
      <c r="H93" s="19" t="str">
        <f>HYPERLINK("https://www.codechef.com/learn/course/sql-intermediate/SQ00BS04/problems/GSQ71","https://www.codechef.com/learn/course/sql-intermediate/SQ00BS04/problems/GSQ71")</f>
        <v>https://www.codechef.com/learn/course/sql-intermediate/SQ00BS04/problems/GSQ71</v>
      </c>
      <c r="I93" s="18" t="inlineStr">
        <is>
          <t>Yes – free (non-Pro) lesson of CodeChef 'Learn Advanced SQL'; free account to submit</t>
        </is>
      </c>
      <c r="J93" s="18" t="inlineStr">
        <is>
          <t>Scalar subquery compared with each row</t>
        </is>
      </c>
      <c r="K93" s="18" t="inlineStr">
        <is>
          <t>T7 AVG</t>
        </is>
      </c>
      <c r="L93" s="18" t="inlineStr">
        <is>
          <t>Yes – WHERE f_cost &gt; (SELECT AVG(f_cost) FROM food)</t>
        </is>
      </c>
      <c r="M93" s="18" t="inlineStr">
        <is>
          <t>Added (verified)</t>
        </is>
      </c>
      <c r="N93" s="17" t="str">
        <f>IF(M93="Added (verified)","Yes","No")</f>
        <v>Yes</v>
      </c>
      <c r="O93" s="17" t="inlineStr">
        <is>
          <t>F20</t>
        </is>
      </c>
      <c r="P93" s="18" t="inlineStr">
        <is>
          <t>Runs on SQLite.</t>
        </is>
      </c>
    </row>
    <row r="94" ht="28.8" customHeight="1">
      <c r="A94" s="17" t="n">
        <v>19</v>
      </c>
      <c r="B94" s="18" t="inlineStr">
        <is>
          <t>Subqueries &amp; Set Operations</t>
        </is>
      </c>
      <c r="C94" s="18" t="inlineStr">
        <is>
          <t>Subqueries</t>
        </is>
      </c>
      <c r="D94" s="17" t="inlineStr">
        <is>
          <t>Q3</t>
        </is>
      </c>
      <c r="E94" s="18" t="inlineStr">
        <is>
          <t>Binary Tree Nodes</t>
        </is>
      </c>
      <c r="F94" s="17" t="inlineStr">
        <is>
          <t>HackerRank</t>
        </is>
      </c>
      <c r="G94" s="18" t="inlineStr">
        <is>
          <t>Medium (HackerRank: Medium)</t>
        </is>
      </c>
      <c r="H94" s="19" t="str">
        <f>HYPERLINK("https://www.hackerrank.com/challenges/binary-search-tree-1/problem","https://www.hackerrank.com/challenges/binary-search-tree-1/problem")</f>
        <v>https://www.hackerrank.com/challenges/binary-search-tree-1/problem</v>
      </c>
      <c r="I94" s="18" t="inlineStr">
        <is>
          <t>Yes – free; free HackerRank account to submit</t>
        </is>
      </c>
      <c r="J94" s="18" t="inlineStr">
        <is>
          <t>CASE with an IN (subquery) test</t>
        </is>
      </c>
      <c r="K94" s="18" t="inlineStr">
        <is>
          <t>T4 ORDER BY, T11 CASE</t>
        </is>
      </c>
      <c r="L94" s="18" t="inlineStr">
        <is>
          <t>Yes – CASE WHEN P IS NULL THEN 'Root' WHEN N IN (SELECT P FROM BST) THEN 'Inner' ELSE 'Leaf' END</t>
        </is>
      </c>
      <c r="M94" s="18" t="inlineStr">
        <is>
          <t>Added (verified)</t>
        </is>
      </c>
      <c r="N94" s="17" t="str">
        <f>IF(M94="Added (verified)","Yes","No")</f>
        <v>Yes</v>
      </c>
      <c r="O94" s="17" t="inlineStr">
        <is>
          <t>G20</t>
        </is>
      </c>
      <c r="P94" s="18" t="inlineStr">
        <is>
          <t>Engines: MySQL, MS SQL Server, Oracle, DB2.</t>
        </is>
      </c>
    </row>
    <row r="95" ht="41.7" customHeight="1">
      <c r="A95" s="17" t="n">
        <v>19</v>
      </c>
      <c r="B95" s="18" t="inlineStr">
        <is>
          <t>Subqueries &amp; Set Operations</t>
        </is>
      </c>
      <c r="C95" s="18" t="inlineStr">
        <is>
          <t>Subqueries</t>
        </is>
      </c>
      <c r="D95" s="17" t="inlineStr">
        <is>
          <t>Q4</t>
        </is>
      </c>
      <c r="E95" s="18" t="inlineStr">
        <is>
          <t>176. Second Highest Salary</t>
        </is>
      </c>
      <c r="F95" s="17" t="inlineStr">
        <is>
          <t>LeetCode</t>
        </is>
      </c>
      <c r="G95" s="18" t="inlineStr">
        <is>
          <t>Medium (LeetCode: Medium)</t>
        </is>
      </c>
      <c r="H95" s="19" t="str">
        <f>HYPERLINK("https://leetcode.com/problems/second-highest-salary/","https://leetcode.com/problems/second-highest-salary/")</f>
        <v>https://leetcode.com/problems/second-highest-salary/</v>
      </c>
      <c r="I95" s="18" t="inlineStr">
        <is>
          <t>Yes – free problem (not Premium); free LeetCode account to submit</t>
        </is>
      </c>
      <c r="J95" s="18" t="inlineStr">
        <is>
          <t>Scalar subquery that returns NULL when there is no answer</t>
        </is>
      </c>
      <c r="K95" s="18" t="inlineStr">
        <is>
          <t>T7 MAX</t>
        </is>
      </c>
      <c r="L95" s="18" t="inlineStr">
        <is>
          <t>Yes – SELECT MAX(salary) ... WHERE salary &lt; (SELECT MAX(salary) FROM Employee)</t>
        </is>
      </c>
      <c r="M95" s="18" t="inlineStr">
        <is>
          <t>Added (verified)</t>
        </is>
      </c>
      <c r="N95" s="17" t="str">
        <f>IF(M95="Added (verified)","Yes","No")</f>
        <v>Yes</v>
      </c>
      <c r="O95" s="17" t="inlineStr">
        <is>
          <t>H20</t>
        </is>
      </c>
      <c r="P95" s="18" t="inlineStr">
        <is>
          <t>Engines: MySQL, MS SQL Server, Oracle, PostgreSQL.</t>
        </is>
      </c>
    </row>
    <row r="96" ht="41.7" customHeight="1">
      <c r="A96" s="17" t="n">
        <v>19</v>
      </c>
      <c r="B96" s="18" t="inlineStr">
        <is>
          <t>Subqueries &amp; Set Operations</t>
        </is>
      </c>
      <c r="C96" s="18" t="inlineStr">
        <is>
          <t>Subqueries</t>
        </is>
      </c>
      <c r="D96" s="17" t="inlineStr">
        <is>
          <t>Q5</t>
        </is>
      </c>
      <c r="E96" s="18" t="inlineStr">
        <is>
          <t>1045. Customers Who Bought All Products</t>
        </is>
      </c>
      <c r="F96" s="17" t="inlineStr">
        <is>
          <t>LeetCode</t>
        </is>
      </c>
      <c r="G96" s="18" t="inlineStr">
        <is>
          <t>Challenging (LeetCode: Medium)</t>
        </is>
      </c>
      <c r="H96" s="19" t="str">
        <f>HYPERLINK("https://leetcode.com/problems/customers-who-bought-all-products/","https://leetcode.com/problems/customers-who-bought-all-products/")</f>
        <v>https://leetcode.com/problems/customers-who-bought-all-products/</v>
      </c>
      <c r="I96" s="18" t="inlineStr">
        <is>
          <t>Yes – free problem (not Premium); free LeetCode account to submit</t>
        </is>
      </c>
      <c r="J96" s="18" t="inlineStr">
        <is>
          <t>Subquery inside HAVING (relational division)</t>
        </is>
      </c>
      <c r="K96" s="18" t="inlineStr">
        <is>
          <t>T9 GROUP BY, T10 HAVING</t>
        </is>
      </c>
      <c r="L96" s="18" t="inlineStr">
        <is>
          <t>Yes – HAVING COUNT(DISTINCT product_key) = (SELECT COUNT(*) FROM Product)</t>
        </is>
      </c>
      <c r="M96" s="18" t="inlineStr">
        <is>
          <t>Added (verified)</t>
        </is>
      </c>
      <c r="N96" s="17" t="str">
        <f>IF(M96="Added (verified)","Yes","No")</f>
        <v>Yes</v>
      </c>
      <c r="O96" s="17" t="inlineStr">
        <is>
          <t>I20</t>
        </is>
      </c>
      <c r="P96" s="18" t="inlineStr">
        <is>
          <t>Engines: MySQL, MS SQL Server, Oracle, PostgreSQL.</t>
        </is>
      </c>
    </row>
    <row r="97" ht="41.7" customHeight="1">
      <c r="A97" s="17" t="n">
        <v>20</v>
      </c>
      <c r="B97" s="18" t="inlineStr">
        <is>
          <t>Subqueries &amp; Set Operations</t>
        </is>
      </c>
      <c r="C97" s="18" t="inlineStr">
        <is>
          <t>Correlated Subqueries &amp; EXISTS</t>
        </is>
      </c>
      <c r="D97" s="17" t="inlineStr">
        <is>
          <t>Q1</t>
        </is>
      </c>
      <c r="E97" s="18" t="inlineStr">
        <is>
          <t>183. Customers Who Never Order</t>
        </is>
      </c>
      <c r="F97" s="17" t="inlineStr">
        <is>
          <t>LeetCode</t>
        </is>
      </c>
      <c r="G97" s="18" t="inlineStr">
        <is>
          <t>Easy (LeetCode: Easy)</t>
        </is>
      </c>
      <c r="H97" s="19" t="str">
        <f>HYPERLINK("https://leetcode.com/problems/customers-who-never-order/","https://leetcode.com/problems/customers-who-never-order/")</f>
        <v>https://leetcode.com/problems/customers-who-never-order/</v>
      </c>
      <c r="I97" s="18" t="inlineStr">
        <is>
          <t>Yes – free problem (not Premium); free LeetCode account to submit</t>
        </is>
      </c>
      <c r="J97" s="18" t="inlineStr">
        <is>
          <t>NOT EXISTS (anti-join)</t>
        </is>
      </c>
      <c r="K97" s="18" t="inlineStr">
        <is>
          <t>T1 AS, T3 WHERE</t>
        </is>
      </c>
      <c r="L97" s="18" t="inlineStr">
        <is>
          <t>Yes – WHERE NOT EXISTS (SELECT 1 FROM Orders o WHERE o.customerId = c.id)</t>
        </is>
      </c>
      <c r="M97" s="18" t="inlineStr">
        <is>
          <t>Added (verified)</t>
        </is>
      </c>
      <c r="N97" s="17" t="str">
        <f>IF(M97="Added (verified)","Yes","No")</f>
        <v>Yes</v>
      </c>
      <c r="O97" s="17" t="inlineStr">
        <is>
          <t>E21</t>
        </is>
      </c>
      <c r="P97" s="18" t="inlineStr">
        <is>
          <t>Engines: MySQL, MS SQL Server, Oracle, PostgreSQL.</t>
        </is>
      </c>
    </row>
    <row r="98" ht="41.7" customHeight="1">
      <c r="A98" s="17" t="n">
        <v>20</v>
      </c>
      <c r="B98" s="18" t="inlineStr">
        <is>
          <t>Subqueries &amp; Set Operations</t>
        </is>
      </c>
      <c r="C98" s="18" t="inlineStr">
        <is>
          <t>Correlated Subqueries &amp; EXISTS</t>
        </is>
      </c>
      <c r="D98" s="17" t="inlineStr">
        <is>
          <t>Q2</t>
        </is>
      </c>
      <c r="E98" s="18" t="inlineStr">
        <is>
          <t>184. Department Highest Salary</t>
        </is>
      </c>
      <c r="F98" s="17" t="inlineStr">
        <is>
          <t>LeetCode</t>
        </is>
      </c>
      <c r="G98" s="18" t="inlineStr">
        <is>
          <t>Medium (LeetCode: Medium)</t>
        </is>
      </c>
      <c r="H98" s="19" t="str">
        <f>HYPERLINK("https://leetcode.com/problems/department-highest-salary/","https://leetcode.com/problems/department-highest-salary/")</f>
        <v>https://leetcode.com/problems/department-highest-salary/</v>
      </c>
      <c r="I98" s="18" t="inlineStr">
        <is>
          <t>Yes – free problem (not Premium); free LeetCode account to submit</t>
        </is>
      </c>
      <c r="J98" s="18" t="inlineStr">
        <is>
          <t>Correlated MAX per department</t>
        </is>
      </c>
      <c r="K98" s="18" t="inlineStr">
        <is>
          <t>T7 MAX, T16 JOIN</t>
        </is>
      </c>
      <c r="L98" s="18" t="inlineStr">
        <is>
          <t>Yes – WHERE e.salary = (SELECT MAX(salary) FROM Employee WHERE departmentId = e.departmentId)</t>
        </is>
      </c>
      <c r="M98" s="18" t="inlineStr">
        <is>
          <t>Added (verified)</t>
        </is>
      </c>
      <c r="N98" s="17" t="str">
        <f>IF(M98="Added (verified)","Yes","No")</f>
        <v>Yes</v>
      </c>
      <c r="O98" s="17" t="inlineStr">
        <is>
          <t>F21</t>
        </is>
      </c>
      <c r="P98" s="18" t="inlineStr">
        <is>
          <t>Engines: MySQL, MS SQL Server, Oracle, PostgreSQL.</t>
        </is>
      </c>
    </row>
    <row r="99" ht="41.7" customHeight="1">
      <c r="A99" s="17" t="n">
        <v>20</v>
      </c>
      <c r="B99" s="18" t="inlineStr">
        <is>
          <t>Subqueries &amp; Set Operations</t>
        </is>
      </c>
      <c r="C99" s="18" t="inlineStr">
        <is>
          <t>Correlated Subqueries &amp; EXISTS</t>
        </is>
      </c>
      <c r="D99" s="17" t="inlineStr">
        <is>
          <t>Q3</t>
        </is>
      </c>
      <c r="E99" s="18" t="inlineStr">
        <is>
          <t>1164. Product Price at a Given Date</t>
        </is>
      </c>
      <c r="F99" s="17" t="inlineStr">
        <is>
          <t>LeetCode</t>
        </is>
      </c>
      <c r="G99" s="18" t="inlineStr">
        <is>
          <t>Medium (LeetCode: Medium)</t>
        </is>
      </c>
      <c r="H99" s="19" t="str">
        <f>HYPERLINK("https://leetcode.com/problems/product-price-at-a-given-date/","https://leetcode.com/problems/product-price-at-a-given-date/")</f>
        <v>https://leetcode.com/problems/product-price-at-a-given-date/</v>
      </c>
      <c r="I99" s="18" t="inlineStr">
        <is>
          <t>Yes – free problem (not Premium); free LeetCode account to submit</t>
        </is>
      </c>
      <c r="J99" s="18" t="inlineStr">
        <is>
          <t>Correlated scalar subquery with a default value</t>
        </is>
      </c>
      <c r="K99" s="18" t="inlineStr">
        <is>
          <t>T4 DISTINCT / ORDER BY / LIMIT, T17 IFNULL / COALESCE</t>
        </is>
      </c>
      <c r="L99" s="18" t="inlineStr">
        <is>
          <t>Yes – COALESCE((latest new_price on or before 2019-08-16 for this product), 10); UNION not required</t>
        </is>
      </c>
      <c r="M99" s="18" t="inlineStr">
        <is>
          <t>Added (verified)</t>
        </is>
      </c>
      <c r="N99" s="17" t="str">
        <f>IF(M99="Added (verified)","Yes","No")</f>
        <v>Yes</v>
      </c>
      <c r="O99" s="17" t="inlineStr">
        <is>
          <t>G21</t>
        </is>
      </c>
      <c r="P99" s="18" t="inlineStr">
        <is>
          <t>Engines: MySQL, MS SQL Server, Oracle, PostgreSQL.</t>
        </is>
      </c>
    </row>
    <row r="100" ht="28.8" customHeight="1">
      <c r="A100" s="17" t="n">
        <v>20</v>
      </c>
      <c r="B100" s="18" t="inlineStr">
        <is>
          <t>Subqueries &amp; Set Operations</t>
        </is>
      </c>
      <c r="C100" s="18" t="inlineStr">
        <is>
          <t>Correlated Subqueries &amp; EXISTS</t>
        </is>
      </c>
      <c r="D100" s="17" t="inlineStr">
        <is>
          <t>Q4</t>
        </is>
      </c>
      <c r="E100" s="18" t="inlineStr">
        <is>
          <t>Ollivander's Inventory</t>
        </is>
      </c>
      <c r="F100" s="17" t="inlineStr">
        <is>
          <t>HackerRank</t>
        </is>
      </c>
      <c r="G100" s="18" t="inlineStr">
        <is>
          <t>Challenging (HackerRank: Medium)</t>
        </is>
      </c>
      <c r="H100" s="19" t="str">
        <f>HYPERLINK("https://www.hackerrank.com/challenges/harry-potter-and-wands/problem","https://www.hackerrank.com/challenges/harry-potter-and-wands/problem")</f>
        <v>https://www.hackerrank.com/challenges/harry-potter-and-wands/problem</v>
      </c>
      <c r="I100" s="18" t="inlineStr">
        <is>
          <t>Yes – free; free HackerRank account to submit</t>
        </is>
      </c>
      <c r="J100" s="18" t="inlineStr">
        <is>
          <t>Correlated MIN per (power, age) inside a join</t>
        </is>
      </c>
      <c r="K100" s="18" t="inlineStr">
        <is>
          <t>T4 ORDER BY, T16 JOIN</t>
        </is>
      </c>
      <c r="L100" s="18" t="inlineStr">
        <is>
          <t>Yes – coins_needed = (SELECT MIN(...) ... WHERE same power AND same age)</t>
        </is>
      </c>
      <c r="M100" s="18" t="inlineStr">
        <is>
          <t>Added (verified)</t>
        </is>
      </c>
      <c r="N100" s="17" t="str">
        <f>IF(M100="Added (verified)","Yes","No")</f>
        <v>Yes</v>
      </c>
      <c r="O100" s="17" t="inlineStr">
        <is>
          <t>H21</t>
        </is>
      </c>
      <c r="P100" s="18" t="inlineStr">
        <is>
          <t>Engines: MySQL, MS SQL Server, Oracle, DB2.</t>
        </is>
      </c>
    </row>
    <row r="101" ht="41.7" customHeight="1">
      <c r="A101" s="17" t="n">
        <v>20</v>
      </c>
      <c r="B101" s="18" t="inlineStr">
        <is>
          <t>Subqueries &amp; Set Operations</t>
        </is>
      </c>
      <c r="C101" s="18" t="inlineStr">
        <is>
          <t>Correlated Subqueries &amp; EXISTS</t>
        </is>
      </c>
      <c r="D101" s="17" t="inlineStr">
        <is>
          <t>Q5</t>
        </is>
      </c>
      <c r="E101" s="18" t="inlineStr">
        <is>
          <t>185. Department Top Three Salaries</t>
        </is>
      </c>
      <c r="F101" s="17" t="inlineStr">
        <is>
          <t>LeetCode</t>
        </is>
      </c>
      <c r="G101" s="18" t="inlineStr">
        <is>
          <t>Challenging (LeetCode: Hard)</t>
        </is>
      </c>
      <c r="H101" s="19" t="str">
        <f>HYPERLINK("https://leetcode.com/problems/department-top-three-salaries/","https://leetcode.com/problems/department-top-three-salaries/")</f>
        <v>https://leetcode.com/problems/department-top-three-salaries/</v>
      </c>
      <c r="I101" s="18" t="inlineStr">
        <is>
          <t>Yes – free problem (not Premium); free LeetCode account to submit</t>
        </is>
      </c>
      <c r="J101" s="18" t="inlineStr">
        <is>
          <t>Correlated COUNT(DISTINCT) to keep the top three per group</t>
        </is>
      </c>
      <c r="K101" s="18" t="inlineStr">
        <is>
          <t>T16 JOIN</t>
        </is>
      </c>
      <c r="L101" s="18" t="inlineStr">
        <is>
          <t>Yes – correlated count of higher salaries &lt; 3; window functions (Topic 23) not required</t>
        </is>
      </c>
      <c r="M101" s="18" t="inlineStr">
        <is>
          <t>Added (verified)</t>
        </is>
      </c>
      <c r="N101" s="17" t="str">
        <f>IF(M101="Added (verified)","Yes","No")</f>
        <v>Yes</v>
      </c>
      <c r="O101" s="17" t="inlineStr">
        <is>
          <t>I21</t>
        </is>
      </c>
      <c r="P101" s="18" t="inlineStr">
        <is>
          <t>Engines: MySQL, MS SQL Server, Oracle, PostgreSQL.</t>
        </is>
      </c>
    </row>
    <row r="102" ht="41.7" customHeight="1">
      <c r="A102" s="17" t="n">
        <v>21</v>
      </c>
      <c r="B102" s="18" t="inlineStr">
        <is>
          <t>Subqueries &amp; Set Operations</t>
        </is>
      </c>
      <c r="C102" s="18" t="inlineStr">
        <is>
          <t>Set Operations</t>
        </is>
      </c>
      <c r="D102" s="17" t="inlineStr">
        <is>
          <t>Q1</t>
        </is>
      </c>
      <c r="E102" s="18" t="inlineStr">
        <is>
          <t>Union (GSQ66)</t>
        </is>
      </c>
      <c r="F102" s="17" t="inlineStr">
        <is>
          <t>CodeChef</t>
        </is>
      </c>
      <c r="G102" s="18" t="inlineStr">
        <is>
          <t>Easy (CodeChef: easy)</t>
        </is>
      </c>
      <c r="H102" s="19" t="str">
        <f>HYPERLINK("https://www.codechef.com/learn/course/sql-intermediate/SQ00BS02/problems/GSQ66","https://www.codechef.com/learn/course/sql-intermediate/SQ00BS02/problems/GSQ66")</f>
        <v>https://www.codechef.com/learn/course/sql-intermediate/SQ00BS02/problems/GSQ66</v>
      </c>
      <c r="I102" s="18" t="inlineStr">
        <is>
          <t>Yes – free (non-Pro) lesson of CodeChef 'Learn Advanced SQL'; free account to submit</t>
        </is>
      </c>
      <c r="J102" s="18" t="inlineStr">
        <is>
          <t>UNION (removes duplicates)</t>
        </is>
      </c>
      <c r="K102" s="18" t="inlineStr">
        <is>
          <t>T1 SELECT *</t>
        </is>
      </c>
      <c r="L102" s="18" t="inlineStr">
        <is>
          <t>Yes – SELECT * FROM Arts UNION SELECT * FROM Science</t>
        </is>
      </c>
      <c r="M102" s="18" t="inlineStr">
        <is>
          <t>Added (verified)</t>
        </is>
      </c>
      <c r="N102" s="17" t="str">
        <f>IF(M102="Added (verified)","Yes","No")</f>
        <v>Yes</v>
      </c>
      <c r="O102" s="17" t="inlineStr">
        <is>
          <t>E22</t>
        </is>
      </c>
      <c r="P102" s="18" t="inlineStr">
        <is>
          <t>Runs on SQLite.</t>
        </is>
      </c>
    </row>
    <row r="103" ht="41.7" customHeight="1">
      <c r="A103" s="17" t="n">
        <v>21</v>
      </c>
      <c r="B103" s="18" t="inlineStr">
        <is>
          <t>Subqueries &amp; Set Operations</t>
        </is>
      </c>
      <c r="C103" s="18" t="inlineStr">
        <is>
          <t>Set Operations</t>
        </is>
      </c>
      <c r="D103" s="17" t="inlineStr">
        <is>
          <t>Q2</t>
        </is>
      </c>
      <c r="E103" s="18" t="inlineStr">
        <is>
          <t>Except (GSQ77)</t>
        </is>
      </c>
      <c r="F103" s="17" t="inlineStr">
        <is>
          <t>CodeChef</t>
        </is>
      </c>
      <c r="G103" s="18" t="inlineStr">
        <is>
          <t>Easy (CodeChef: easy)</t>
        </is>
      </c>
      <c r="H103" s="19" t="str">
        <f>HYPERLINK("https://www.codechef.com/learn/course/sql-intermediate/SQ00BS06/problems/GSQ77","https://www.codechef.com/learn/course/sql-intermediate/SQ00BS06/problems/GSQ77")</f>
        <v>https://www.codechef.com/learn/course/sql-intermediate/SQ00BS06/problems/GSQ77</v>
      </c>
      <c r="I103" s="18" t="inlineStr">
        <is>
          <t>Yes – free (non-Pro) lesson of CodeChef 'Learn Advanced SQL'; free account to submit</t>
        </is>
      </c>
      <c r="J103" s="18" t="inlineStr">
        <is>
          <t>EXCEPT (rows in A but not in B)</t>
        </is>
      </c>
      <c r="K103" s="18" t="inlineStr">
        <is>
          <t>T1 SELECT</t>
        </is>
      </c>
      <c r="L103" s="18" t="inlineStr">
        <is>
          <t>Yes – SELECT f_name FROM fruit EXCEPT SELECT inv_name FROM inventory</t>
        </is>
      </c>
      <c r="M103" s="18" t="inlineStr">
        <is>
          <t>Added (verified)</t>
        </is>
      </c>
      <c r="N103" s="17" t="str">
        <f>IF(M103="Added (verified)","Yes","No")</f>
        <v>Yes</v>
      </c>
      <c r="O103" s="17" t="inlineStr">
        <is>
          <t>F22</t>
        </is>
      </c>
      <c r="P103" s="18" t="inlineStr">
        <is>
          <t>Runs on SQLite.</t>
        </is>
      </c>
    </row>
    <row r="104" ht="41.7" customHeight="1">
      <c r="A104" s="17" t="n">
        <v>21</v>
      </c>
      <c r="B104" s="18" t="inlineStr">
        <is>
          <t>Subqueries &amp; Set Operations</t>
        </is>
      </c>
      <c r="C104" s="18" t="inlineStr">
        <is>
          <t>Set Operations</t>
        </is>
      </c>
      <c r="D104" s="17" t="inlineStr">
        <is>
          <t>Q3</t>
        </is>
      </c>
      <c r="E104" s="18" t="inlineStr">
        <is>
          <t>1795. Rearrange Products Table</t>
        </is>
      </c>
      <c r="F104" s="17" t="inlineStr">
        <is>
          <t>LeetCode</t>
        </is>
      </c>
      <c r="G104" s="18" t="inlineStr">
        <is>
          <t>Medium (LeetCode: Easy)</t>
        </is>
      </c>
      <c r="H104" s="19" t="str">
        <f>HYPERLINK("https://leetcode.com/problems/rearrange-products-table/","https://leetcode.com/problems/rearrange-products-table/")</f>
        <v>https://leetcode.com/problems/rearrange-products-table/</v>
      </c>
      <c r="I104" s="18" t="inlineStr">
        <is>
          <t>Yes – free problem (not Premium); free LeetCode account to submit</t>
        </is>
      </c>
      <c r="J104" s="18" t="inlineStr">
        <is>
          <t>UNION ALL to turn columns into rows (unpivot)</t>
        </is>
      </c>
      <c r="K104" s="18" t="inlineStr">
        <is>
          <t>T3 IS NOT NULL</t>
        </is>
      </c>
      <c r="L104" s="18" t="inlineStr">
        <is>
          <t>Yes – three SELECTs (store1 / store2 / store3) joined by UNION ALL</t>
        </is>
      </c>
      <c r="M104" s="18" t="inlineStr">
        <is>
          <t>Added (verified)</t>
        </is>
      </c>
      <c r="N104" s="17" t="str">
        <f>IF(M104="Added (verified)","Yes","No")</f>
        <v>Yes</v>
      </c>
      <c r="O104" s="17" t="inlineStr">
        <is>
          <t>G22</t>
        </is>
      </c>
      <c r="P104" s="18" t="inlineStr">
        <is>
          <t>Engines: MySQL, MS SQL Server, Oracle, PostgreSQL.</t>
        </is>
      </c>
    </row>
    <row r="105" ht="41.7" customHeight="1">
      <c r="A105" s="17" t="n">
        <v>21</v>
      </c>
      <c r="B105" s="18" t="inlineStr">
        <is>
          <t>Subqueries &amp; Set Operations</t>
        </is>
      </c>
      <c r="C105" s="18" t="inlineStr">
        <is>
          <t>Set Operations</t>
        </is>
      </c>
      <c r="D105" s="17" t="inlineStr">
        <is>
          <t>Q4</t>
        </is>
      </c>
      <c r="E105" s="18" t="inlineStr">
        <is>
          <t>1907. Count Salary Categories</t>
        </is>
      </c>
      <c r="F105" s="17" t="inlineStr">
        <is>
          <t>LeetCode</t>
        </is>
      </c>
      <c r="G105" s="18" t="inlineStr">
        <is>
          <t>Medium (LeetCode: Medium)</t>
        </is>
      </c>
      <c r="H105" s="19" t="str">
        <f>HYPERLINK("https://leetcode.com/problems/count-salary-categories/","https://leetcode.com/problems/count-salary-categories/")</f>
        <v>https://leetcode.com/problems/count-salary-categories/</v>
      </c>
      <c r="I105" s="18" t="inlineStr">
        <is>
          <t>Yes – free problem (not Premium); free LeetCode account to submit</t>
        </is>
      </c>
      <c r="J105" s="18" t="inlineStr">
        <is>
          <t>UNION of three aggregate queries so empty categories still appear</t>
        </is>
      </c>
      <c r="K105" s="18" t="inlineStr">
        <is>
          <t>T7 COUNT / SUM, T11 CASE</t>
        </is>
      </c>
      <c r="L105" s="18" t="inlineStr">
        <is>
          <t>Yes – one SELECT per category combined with UNION</t>
        </is>
      </c>
      <c r="M105" s="18" t="inlineStr">
        <is>
          <t>Added (verified)</t>
        </is>
      </c>
      <c r="N105" s="17" t="str">
        <f>IF(M105="Added (verified)","Yes","No")</f>
        <v>Yes</v>
      </c>
      <c r="O105" s="17" t="inlineStr">
        <is>
          <t>H22</t>
        </is>
      </c>
      <c r="P105" s="18" t="inlineStr">
        <is>
          <t>Engines: MySQL, MS SQL Server, Oracle, PostgreSQL.</t>
        </is>
      </c>
    </row>
    <row r="106" ht="41.7" customHeight="1">
      <c r="A106" s="17" t="n">
        <v>21</v>
      </c>
      <c r="B106" s="18" t="inlineStr">
        <is>
          <t>Subqueries &amp; Set Operations</t>
        </is>
      </c>
      <c r="C106" s="18" t="inlineStr">
        <is>
          <t>Set Operations</t>
        </is>
      </c>
      <c r="D106" s="17" t="inlineStr">
        <is>
          <t>Q5</t>
        </is>
      </c>
      <c r="E106" s="18" t="inlineStr">
        <is>
          <t>1341. Movie Rating</t>
        </is>
      </c>
      <c r="F106" s="17" t="inlineStr">
        <is>
          <t>LeetCode</t>
        </is>
      </c>
      <c r="G106" s="18" t="inlineStr">
        <is>
          <t>Challenging (LeetCode: Medium)</t>
        </is>
      </c>
      <c r="H106" s="19" t="str">
        <f>HYPERLINK("https://leetcode.com/problems/movie-rating/","https://leetcode.com/problems/movie-rating/")</f>
        <v>https://leetcode.com/problems/movie-rating/</v>
      </c>
      <c r="I106" s="18" t="inlineStr">
        <is>
          <t>Yes – free problem (not Premium); free LeetCode account to submit</t>
        </is>
      </c>
      <c r="J106" s="18" t="inlineStr">
        <is>
          <t>UNION ALL of two ranked aggregate queries</t>
        </is>
      </c>
      <c r="K106" s="18" t="inlineStr">
        <is>
          <t>T4 ORDER BY / LIMIT, T9 GROUP BY, T12 dates, T16 JOIN</t>
        </is>
      </c>
      <c r="L106" s="18" t="inlineStr">
        <is>
          <t>Yes – (top user by ratings count) UNION ALL (top movie by Feb-2020 average)</t>
        </is>
      </c>
      <c r="M106" s="18" t="inlineStr">
        <is>
          <t>Added (verified)</t>
        </is>
      </c>
      <c r="N106" s="17" t="str">
        <f>IF(M106="Added (verified)","Yes","No")</f>
        <v>Yes</v>
      </c>
      <c r="O106" s="17" t="inlineStr">
        <is>
          <t>I22</t>
        </is>
      </c>
      <c r="P106" s="18" t="inlineStr">
        <is>
          <t>Engines: MySQL, MS SQL Server, Oracle, PostgreSQL.</t>
        </is>
      </c>
    </row>
    <row r="107" ht="41.7" customHeight="1">
      <c r="A107" s="17" t="n">
        <v>22</v>
      </c>
      <c r="B107" s="18" t="inlineStr">
        <is>
          <t>Advanced SQL</t>
        </is>
      </c>
      <c r="C107" s="18" t="inlineStr">
        <is>
          <t>Common Table Expressions (WITH)</t>
        </is>
      </c>
      <c r="D107" s="17" t="inlineStr">
        <is>
          <t>Q1</t>
        </is>
      </c>
      <c r="E107" s="18" t="inlineStr">
        <is>
          <t>Project - Temporary table with Join (GSQ68F)</t>
        </is>
      </c>
      <c r="F107" s="17" t="inlineStr">
        <is>
          <t>CodeChef</t>
        </is>
      </c>
      <c r="G107" s="18" t="inlineStr">
        <is>
          <t>Medium (CodeChef: medium)</t>
        </is>
      </c>
      <c r="H107" s="19" t="str">
        <f>HYPERLINK("https://www.codechef.com/learn/course/sql-intermediate/SQ00BS03/problems/GSQ68F","https://www.codechef.com/learn/course/sql-intermediate/SQ00BS03/problems/GSQ68F")</f>
        <v>https://www.codechef.com/learn/course/sql-intermediate/SQ00BS03/problems/GSQ68F</v>
      </c>
      <c r="I107" s="18" t="inlineStr">
        <is>
          <t>Yes – free (non-Pro) lesson of CodeChef 'Learn Advanced SQL'; free account to submit</t>
        </is>
      </c>
      <c r="J107" s="18" t="inlineStr">
        <is>
          <t>WITH clause (named top-3 subquery) joined to a table</t>
        </is>
      </c>
      <c r="K107" s="18" t="inlineStr">
        <is>
          <t>T4 ORDER BY / LIMIT, T16 JOIN</t>
        </is>
      </c>
      <c r="L107" s="18" t="inlineStr">
        <is>
          <t>Yes – WITH top_purchase AS (... ORDER BY Purchase_Amt DESC LIMIT 3) SELECT ... JOIN top_purchase</t>
        </is>
      </c>
      <c r="M107" s="18" t="inlineStr">
        <is>
          <t>Added (verified)</t>
        </is>
      </c>
      <c r="N107" s="17" t="str">
        <f>IF(M107="Added (verified)","Yes","No")</f>
        <v>Yes</v>
      </c>
      <c r="O107" s="17" t="inlineStr">
        <is>
          <t>E23</t>
        </is>
      </c>
      <c r="P107" s="18" t="inlineStr">
        <is>
          <t>Runs on SQLite.</t>
        </is>
      </c>
    </row>
    <row r="108" ht="41.7" customHeight="1">
      <c r="A108" s="17" t="n">
        <v>22</v>
      </c>
      <c r="B108" s="18" t="inlineStr">
        <is>
          <t>Advanced SQL</t>
        </is>
      </c>
      <c r="C108" s="18" t="inlineStr">
        <is>
          <t>Common Table Expressions (WITH)</t>
        </is>
      </c>
      <c r="D108" s="17" t="inlineStr">
        <is>
          <t>Q2</t>
        </is>
      </c>
      <c r="E108" s="18" t="inlineStr">
        <is>
          <t>1070. Product Sales Analysis III</t>
        </is>
      </c>
      <c r="F108" s="17" t="inlineStr">
        <is>
          <t>LeetCode</t>
        </is>
      </c>
      <c r="G108" s="18" t="inlineStr">
        <is>
          <t>Medium (LeetCode: Medium)</t>
        </is>
      </c>
      <c r="H108" s="19" t="str">
        <f>HYPERLINK("https://leetcode.com/problems/product-sales-analysis-iii/","https://leetcode.com/problems/product-sales-analysis-iii/")</f>
        <v>https://leetcode.com/problems/product-sales-analysis-iii/</v>
      </c>
      <c r="I108" s="18" t="inlineStr">
        <is>
          <t>Yes – free problem (not Premium); free LeetCode account to submit</t>
        </is>
      </c>
      <c r="J108" s="18" t="inlineStr">
        <is>
          <t>CTE for each product's first year, then join back</t>
        </is>
      </c>
      <c r="K108" s="18" t="inlineStr">
        <is>
          <t>T7 MIN, T9 GROUP BY, T16 JOIN</t>
        </is>
      </c>
      <c r="L108" s="18" t="inlineStr">
        <is>
          <t>Yes – WITH first AS (SELECT product_id, MIN(year) ...) joined to Sales</t>
        </is>
      </c>
      <c r="M108" s="18" t="inlineStr">
        <is>
          <t>Added (verified)</t>
        </is>
      </c>
      <c r="N108" s="17" t="str">
        <f>IF(M108="Added (verified)","Yes","No")</f>
        <v>Yes</v>
      </c>
      <c r="O108" s="17" t="inlineStr">
        <is>
          <t>F23</t>
        </is>
      </c>
      <c r="P108" s="18" t="inlineStr">
        <is>
          <t>Engines: MySQL, MS SQL Server, Oracle, PostgreSQL.</t>
        </is>
      </c>
    </row>
    <row r="109" ht="28.8" customHeight="1">
      <c r="A109" s="17" t="n">
        <v>22</v>
      </c>
      <c r="B109" s="18" t="inlineStr">
        <is>
          <t>Advanced SQL</t>
        </is>
      </c>
      <c r="C109" s="18" t="inlineStr">
        <is>
          <t>Common Table Expressions (WITH)</t>
        </is>
      </c>
      <c r="D109" s="17" t="inlineStr">
        <is>
          <t>Q3</t>
        </is>
      </c>
      <c r="E109" s="18" t="inlineStr">
        <is>
          <t>Contest Leaderboard</t>
        </is>
      </c>
      <c r="F109" s="17" t="inlineStr">
        <is>
          <t>HackerRank</t>
        </is>
      </c>
      <c r="G109" s="18" t="inlineStr">
        <is>
          <t>Medium (HackerRank: Medium)</t>
        </is>
      </c>
      <c r="H109" s="19" t="str">
        <f>HYPERLINK("https://www.hackerrank.com/challenges/contest-leaderboard/problem","https://www.hackerrank.com/challenges/contest-leaderboard/problem")</f>
        <v>https://www.hackerrank.com/challenges/contest-leaderboard/problem</v>
      </c>
      <c r="I109" s="18" t="inlineStr">
        <is>
          <t>Yes – free; free HackerRank account to submit</t>
        </is>
      </c>
      <c r="J109" s="18" t="inlineStr">
        <is>
          <t>CTE of per-challenge maximum scores, then SUM per hacker</t>
        </is>
      </c>
      <c r="K109" s="18" t="inlineStr">
        <is>
          <t>T9 GROUP BY, T10 HAVING, T16 JOIN</t>
        </is>
      </c>
      <c r="L109" s="18" t="inlineStr">
        <is>
          <t>Yes – CTE / derived table of MAX(score), SUM per hacker, HAVING total &gt; 0</t>
        </is>
      </c>
      <c r="M109" s="18" t="inlineStr">
        <is>
          <t>Added (verified)</t>
        </is>
      </c>
      <c r="N109" s="17" t="str">
        <f>IF(M109="Added (verified)","Yes","No")</f>
        <v>Yes</v>
      </c>
      <c r="O109" s="17" t="inlineStr">
        <is>
          <t>G23</t>
        </is>
      </c>
      <c r="P109" s="18" t="inlineStr">
        <is>
          <t>Engines: MySQL, MS SQL Server, Oracle, DB2.</t>
        </is>
      </c>
    </row>
    <row r="110" ht="41.7" customHeight="1">
      <c r="A110" s="17" t="n">
        <v>22</v>
      </c>
      <c r="B110" s="18" t="inlineStr">
        <is>
          <t>Advanced SQL</t>
        </is>
      </c>
      <c r="C110" s="18" t="inlineStr">
        <is>
          <t>Common Table Expressions (WITH)</t>
        </is>
      </c>
      <c r="D110" s="17" t="inlineStr">
        <is>
          <t>Q4</t>
        </is>
      </c>
      <c r="E110" s="18" t="inlineStr">
        <is>
          <t>585. Investments in 2016</t>
        </is>
      </c>
      <c r="F110" s="17" t="inlineStr">
        <is>
          <t>LeetCode</t>
        </is>
      </c>
      <c r="G110" s="18" t="inlineStr">
        <is>
          <t>Challenging (LeetCode: Medium)</t>
        </is>
      </c>
      <c r="H110" s="19" t="str">
        <f>HYPERLINK("https://leetcode.com/problems/investments-in-2016/","https://leetcode.com/problems/investments-in-2016/")</f>
        <v>https://leetcode.com/problems/investments-in-2016/</v>
      </c>
      <c r="I110" s="18" t="inlineStr">
        <is>
          <t>Yes – free problem (not Premium); free LeetCode account to submit</t>
        </is>
      </c>
      <c r="J110" s="18" t="inlineStr">
        <is>
          <t>CTE / subqueries with group counts for two conditions</t>
        </is>
      </c>
      <c r="K110" s="18" t="inlineStr">
        <is>
          <t>T8 ROUND, T10 HAVING, T19 IN (subquery)</t>
        </is>
      </c>
      <c r="L110" s="18" t="inlineStr">
        <is>
          <t>Yes – shared tiv_2015 and unique (lat, lon) found with grouped counts</t>
        </is>
      </c>
      <c r="M110" s="18" t="inlineStr">
        <is>
          <t>Added (verified)</t>
        </is>
      </c>
      <c r="N110" s="17" t="str">
        <f>IF(M110="Added (verified)","Yes","No")</f>
        <v>Yes</v>
      </c>
      <c r="O110" s="17" t="inlineStr">
        <is>
          <t>H23</t>
        </is>
      </c>
      <c r="P110" s="18" t="inlineStr">
        <is>
          <t>Engines: MySQL, MS SQL Server, Oracle, PostgreSQL.</t>
        </is>
      </c>
    </row>
    <row r="111" ht="28.8" customHeight="1">
      <c r="A111" s="17" t="n">
        <v>22</v>
      </c>
      <c r="B111" s="18" t="inlineStr">
        <is>
          <t>Advanced SQL</t>
        </is>
      </c>
      <c r="C111" s="18" t="inlineStr">
        <is>
          <t>Common Table Expressions (WITH)</t>
        </is>
      </c>
      <c r="D111" s="17" t="inlineStr">
        <is>
          <t>Q5</t>
        </is>
      </c>
      <c r="E111" s="18" t="inlineStr">
        <is>
          <t>Interviews</t>
        </is>
      </c>
      <c r="F111" s="17" t="inlineStr">
        <is>
          <t>HackerRank</t>
        </is>
      </c>
      <c r="G111" s="18" t="inlineStr">
        <is>
          <t>Challenging (HackerRank: Hard)</t>
        </is>
      </c>
      <c r="H111" s="19" t="str">
        <f>HYPERLINK("https://www.hackerrank.com/challenges/interviews/problem","https://www.hackerrank.com/challenges/interviews/problem")</f>
        <v>https://www.hackerrank.com/challenges/interviews/problem</v>
      </c>
      <c r="I111" s="18" t="inlineStr">
        <is>
          <t>Yes – free; free HackerRank account to submit</t>
        </is>
      </c>
      <c r="J111" s="18" t="inlineStr">
        <is>
          <t>Several aggregated CTEs LEFT JOINed together</t>
        </is>
      </c>
      <c r="K111" s="18" t="inlineStr">
        <is>
          <t>T9 GROUP BY, T10 HAVING, T16 JOIN, T17 LEFT JOIN</t>
        </is>
      </c>
      <c r="L111" s="18" t="inlineStr">
        <is>
          <t>Yes – pre-aggregate View_Stats and Submission_Stats in CTEs, join to contests, HAVING sums &gt; 0</t>
        </is>
      </c>
      <c r="M111" s="18" t="inlineStr">
        <is>
          <t>Added (verified)</t>
        </is>
      </c>
      <c r="N111" s="17" t="str">
        <f>IF(M111="Added (verified)","Yes","No")</f>
        <v>Yes</v>
      </c>
      <c r="O111" s="17" t="inlineStr">
        <is>
          <t>I23</t>
        </is>
      </c>
      <c r="P111" s="18" t="inlineStr">
        <is>
          <t>Engines: MySQL, MS SQL Server, Oracle, DB2.</t>
        </is>
      </c>
    </row>
    <row r="112" ht="41.7" customHeight="1">
      <c r="A112" s="17" t="n">
        <v>23</v>
      </c>
      <c r="B112" s="18" t="inlineStr">
        <is>
          <t>Advanced SQL</t>
        </is>
      </c>
      <c r="C112" s="18" t="inlineStr">
        <is>
          <t>Window Functions – Ranking</t>
        </is>
      </c>
      <c r="D112" s="17" t="inlineStr">
        <is>
          <t>Q1</t>
        </is>
      </c>
      <c r="E112" s="18" t="inlineStr">
        <is>
          <t>178. Rank Scores</t>
        </is>
      </c>
      <c r="F112" s="17" t="inlineStr">
        <is>
          <t>LeetCode</t>
        </is>
      </c>
      <c r="G112" s="18" t="inlineStr">
        <is>
          <t>Easy (LeetCode: Medium)</t>
        </is>
      </c>
      <c r="H112" s="19" t="str">
        <f>HYPERLINK("https://leetcode.com/problems/rank-scores/","https://leetcode.com/problems/rank-scores/")</f>
        <v>https://leetcode.com/problems/rank-scores/</v>
      </c>
      <c r="I112" s="18" t="inlineStr">
        <is>
          <t>Yes – free problem (not Premium); free LeetCode account to submit</t>
        </is>
      </c>
      <c r="J112" s="18" t="inlineStr">
        <is>
          <t>DENSE_RANK() OVER (ORDER BY ...)</t>
        </is>
      </c>
      <c r="K112" s="18" t="inlineStr">
        <is>
          <t>T4 ORDER BY</t>
        </is>
      </c>
      <c r="L112" s="18" t="inlineStr">
        <is>
          <t>Yes – DENSE_RANK() OVER (ORDER BY score DESC)</t>
        </is>
      </c>
      <c r="M112" s="18" t="inlineStr">
        <is>
          <t>Added (verified)</t>
        </is>
      </c>
      <c r="N112" s="17" t="str">
        <f>IF(M112="Added (verified)","Yes","No")</f>
        <v>Yes</v>
      </c>
      <c r="O112" s="17" t="inlineStr">
        <is>
          <t>E24</t>
        </is>
      </c>
      <c r="P112" s="18" t="inlineStr">
        <is>
          <t>Engines: MySQL, MS SQL Server, Oracle, PostgreSQL.</t>
        </is>
      </c>
    </row>
    <row r="113" ht="41.7" customHeight="1">
      <c r="A113" s="17" t="n">
        <v>23</v>
      </c>
      <c r="B113" s="18" t="inlineStr">
        <is>
          <t>Advanced SQL</t>
        </is>
      </c>
      <c r="C113" s="18" t="inlineStr">
        <is>
          <t>Window Functions – Ranking</t>
        </is>
      </c>
      <c r="D113" s="17" t="inlineStr">
        <is>
          <t>Q2</t>
        </is>
      </c>
      <c r="E113" s="18" t="inlineStr">
        <is>
          <t>Task-11 Rank Doctors Based on Patient Feedback (ASQLPR112)</t>
        </is>
      </c>
      <c r="F113" s="17" t="inlineStr">
        <is>
          <t>CodeChef</t>
        </is>
      </c>
      <c r="G113" s="18" t="inlineStr">
        <is>
          <t>Medium (CodeChef: medium)</t>
        </is>
      </c>
      <c r="H113" s="19" t="str">
        <f>HYPERLINK("https://www.codechef.com/learn/course/sql-intermediate/JJTST2/problems/ASQLPR112","https://www.codechef.com/learn/course/sql-intermediate/JJTST2/problems/ASQLPR112")</f>
        <v>https://www.codechef.com/learn/course/sql-intermediate/JJTST2/problems/ASQLPR112</v>
      </c>
      <c r="I113" s="18" t="inlineStr">
        <is>
          <t>Yes – free (non-Pro) lesson of CodeChef 'Learn Advanced SQL'; free account to submit</t>
        </is>
      </c>
      <c r="J113" s="18" t="inlineStr">
        <is>
          <t>RANK() over aggregated feedback scores</t>
        </is>
      </c>
      <c r="K113" s="18" t="inlineStr">
        <is>
          <t>T7 AVG, T9 GROUP BY, T16 JOIN</t>
        </is>
      </c>
      <c r="L113" s="18" t="inlineStr">
        <is>
          <t>Yes – aggregate feedback per doctor, then RANK() OVER (ORDER BY ...)</t>
        </is>
      </c>
      <c r="M113" s="18" t="inlineStr">
        <is>
          <t>Added (verified)</t>
        </is>
      </c>
      <c r="N113" s="17" t="str">
        <f>IF(M113="Added (verified)","Yes","No")</f>
        <v>Yes</v>
      </c>
      <c r="O113" s="17" t="inlineStr">
        <is>
          <t>F24</t>
        </is>
      </c>
      <c r="P113" s="18" t="inlineStr">
        <is>
          <t>Lesson of the free 'Hospital management system' case study; the tables it needs are pre-loaded and shown in the statement. Runs on SQLite.</t>
        </is>
      </c>
    </row>
    <row r="114" ht="41.7" customHeight="1">
      <c r="A114" s="17" t="n">
        <v>23</v>
      </c>
      <c r="B114" s="18" t="inlineStr">
        <is>
          <t>Advanced SQL</t>
        </is>
      </c>
      <c r="C114" s="18" t="inlineStr">
        <is>
          <t>Window Functions – Ranking</t>
        </is>
      </c>
      <c r="D114" s="17" t="inlineStr">
        <is>
          <t>Q3</t>
        </is>
      </c>
      <c r="E114" s="18" t="inlineStr">
        <is>
          <t>Task-12 Analyze Treatment Trends Per Department (ASQLPR113)</t>
        </is>
      </c>
      <c r="F114" s="17" t="inlineStr">
        <is>
          <t>CodeChef</t>
        </is>
      </c>
      <c r="G114" s="18" t="inlineStr">
        <is>
          <t>Medium (CodeChef: medium)</t>
        </is>
      </c>
      <c r="H114" s="19" t="str">
        <f>HYPERLINK("https://www.codechef.com/learn/course/sql-intermediate/JJTST2/problems/ASQLPR113","https://www.codechef.com/learn/course/sql-intermediate/JJTST2/problems/ASQLPR113")</f>
        <v>https://www.codechef.com/learn/course/sql-intermediate/JJTST2/problems/ASQLPR113</v>
      </c>
      <c r="I114" s="18" t="inlineStr">
        <is>
          <t>Yes – free (non-Pro) lesson of CodeChef 'Learn Advanced SQL'; free account to submit</t>
        </is>
      </c>
      <c r="J114" s="18" t="inlineStr">
        <is>
          <t>RANK() OVER (PARTITION BY department ...)</t>
        </is>
      </c>
      <c r="K114" s="18" t="inlineStr">
        <is>
          <t>T9 GROUP BY, T11 CASE, T16 JOIN</t>
        </is>
      </c>
      <c r="L114" s="18" t="inlineStr">
        <is>
          <t>Yes – COUNT treatments per doctor, RANK() OVER (PARTITION BY Department ORDER BY count DESC)</t>
        </is>
      </c>
      <c r="M114" s="18" t="inlineStr">
        <is>
          <t>Added (verified)</t>
        </is>
      </c>
      <c r="N114" s="17" t="str">
        <f>IF(M114="Added (verified)","Yes","No")</f>
        <v>Yes</v>
      </c>
      <c r="O114" s="17" t="inlineStr">
        <is>
          <t>G24</t>
        </is>
      </c>
      <c r="P114" s="18" t="inlineStr">
        <is>
          <t>Lesson of the free 'Hospital management system' case study; the tables it needs are pre-loaded and shown in the statement. Runs on SQLite.</t>
        </is>
      </c>
    </row>
    <row r="115" ht="28.8" customHeight="1">
      <c r="A115" s="17" t="n">
        <v>23</v>
      </c>
      <c r="B115" s="18" t="inlineStr">
        <is>
          <t>Advanced SQL</t>
        </is>
      </c>
      <c r="C115" s="18" t="inlineStr">
        <is>
          <t>Window Functions – Ranking</t>
        </is>
      </c>
      <c r="D115" s="17" t="inlineStr">
        <is>
          <t>Q4</t>
        </is>
      </c>
      <c r="E115" s="18" t="inlineStr">
        <is>
          <t>Occupations</t>
        </is>
      </c>
      <c r="F115" s="17" t="inlineStr">
        <is>
          <t>HackerRank</t>
        </is>
      </c>
      <c r="G115" s="18" t="inlineStr">
        <is>
          <t>Challenging (HackerRank: Medium)</t>
        </is>
      </c>
      <c r="H115" s="19" t="str">
        <f>HYPERLINK("https://www.hackerrank.com/challenges/occupations/problem","https://www.hackerrank.com/challenges/occupations/problem")</f>
        <v>https://www.hackerrank.com/challenges/occupations/problem</v>
      </c>
      <c r="I115" s="18" t="inlineStr">
        <is>
          <t>Yes – free; free HackerRank account to submit</t>
        </is>
      </c>
      <c r="J115" s="18" t="inlineStr">
        <is>
          <t>ROW_NUMBER() OVER (PARTITION BY ...) + pivot with MAX(CASE ...)</t>
        </is>
      </c>
      <c r="K115" s="18" t="inlineStr">
        <is>
          <t>T9 GROUP BY, T13 pivoting</t>
        </is>
      </c>
      <c r="L115" s="18" t="inlineStr">
        <is>
          <t>Yes – ROW_NUMBER per occupation, then MAX(CASE ...) GROUP BY row number</t>
        </is>
      </c>
      <c r="M115" s="18" t="inlineStr">
        <is>
          <t>Added (verified)</t>
        </is>
      </c>
      <c r="N115" s="17" t="str">
        <f>IF(M115="Added (verified)","Yes","No")</f>
        <v>Yes</v>
      </c>
      <c r="O115" s="17" t="inlineStr">
        <is>
          <t>H24</t>
        </is>
      </c>
      <c r="P115" s="18" t="inlineStr">
        <is>
          <t>Engines: MySQL, MS SQL Server, Oracle, DB2.</t>
        </is>
      </c>
    </row>
    <row r="116" ht="41.7" customHeight="1">
      <c r="A116" s="17" t="n">
        <v>23</v>
      </c>
      <c r="B116" s="18" t="inlineStr">
        <is>
          <t>Advanced SQL</t>
        </is>
      </c>
      <c r="C116" s="18" t="inlineStr">
        <is>
          <t>Window Functions – Ranking</t>
        </is>
      </c>
      <c r="D116" s="17" t="inlineStr">
        <is>
          <t>Q5</t>
        </is>
      </c>
      <c r="E116" s="18" t="inlineStr">
        <is>
          <t>3564. Seasonal Sales Analysis</t>
        </is>
      </c>
      <c r="F116" s="17" t="inlineStr">
        <is>
          <t>LeetCode</t>
        </is>
      </c>
      <c r="G116" s="18" t="inlineStr">
        <is>
          <t>Challenging (LeetCode: Medium)</t>
        </is>
      </c>
      <c r="H116" s="19" t="str">
        <f>HYPERLINK("https://leetcode.com/problems/seasonal-sales-analysis/","https://leetcode.com/problems/seasonal-sales-analysis/")</f>
        <v>https://leetcode.com/problems/seasonal-sales-analysis/</v>
      </c>
      <c r="I116" s="18" t="inlineStr">
        <is>
          <t>Yes – free problem (not Premium); free LeetCode account to submit</t>
        </is>
      </c>
      <c r="J116" s="18" t="inlineStr">
        <is>
          <t>Top category per season with ROW_NUMBER / RANK and tie-breakers</t>
        </is>
      </c>
      <c r="K116" s="18" t="inlineStr">
        <is>
          <t>T11 CASE, T12 MONTH, T16 JOIN, T22 CTE</t>
        </is>
      </c>
      <c r="L116" s="18" t="inlineStr">
        <is>
          <t>Yes – CASE season, SUM per (season, category), ROW_NUMBER() OVER (PARTITION BY season ORDER BY ...)</t>
        </is>
      </c>
      <c r="M116" s="18" t="inlineStr">
        <is>
          <t>Added (verified)</t>
        </is>
      </c>
      <c r="N116" s="17" t="str">
        <f>IF(M116="Added (verified)","Yes","No")</f>
        <v>Yes</v>
      </c>
      <c r="O116" s="17" t="inlineStr">
        <is>
          <t>I24</t>
        </is>
      </c>
      <c r="P116" s="18" t="inlineStr">
        <is>
          <t>Engines: MySQL, MS SQL Server, Oracle, PostgreSQL.</t>
        </is>
      </c>
    </row>
    <row r="117" ht="41.7" customHeight="1">
      <c r="A117" s="17" t="n">
        <v>24</v>
      </c>
      <c r="B117" s="18" t="inlineStr">
        <is>
          <t>Advanced SQL</t>
        </is>
      </c>
      <c r="C117" s="18" t="inlineStr">
        <is>
          <t>Window Functions – LAG / LEAD &amp; Running Totals</t>
        </is>
      </c>
      <c r="D117" s="17" t="inlineStr">
        <is>
          <t>Q1</t>
        </is>
      </c>
      <c r="E117" s="18" t="inlineStr">
        <is>
          <t>180. Consecutive Numbers</t>
        </is>
      </c>
      <c r="F117" s="17" t="inlineStr">
        <is>
          <t>LeetCode</t>
        </is>
      </c>
      <c r="G117" s="18" t="inlineStr">
        <is>
          <t>Medium (LeetCode: Medium)</t>
        </is>
      </c>
      <c r="H117" s="19" t="str">
        <f>HYPERLINK("https://leetcode.com/problems/consecutive-numbers/","https://leetcode.com/problems/consecutive-numbers/")</f>
        <v>https://leetcode.com/problems/consecutive-numbers/</v>
      </c>
      <c r="I117" s="18" t="inlineStr">
        <is>
          <t>Yes – free problem (not Premium); free LeetCode account to submit</t>
        </is>
      </c>
      <c r="J117" s="18" t="inlineStr">
        <is>
          <t>LAG / LEAD to compare neighbouring rows</t>
        </is>
      </c>
      <c r="K117" s="18" t="inlineStr">
        <is>
          <t>T4 DISTINCT</t>
        </is>
      </c>
      <c r="L117" s="18" t="inlineStr">
        <is>
          <t>Yes – num = LAG(num) OVER (ORDER BY id) AND num = LEAD(num) OVER (ORDER BY id)</t>
        </is>
      </c>
      <c r="M117" s="18" t="inlineStr">
        <is>
          <t>Added (verified)</t>
        </is>
      </c>
      <c r="N117" s="17" t="str">
        <f>IF(M117="Added (verified)","Yes","No")</f>
        <v>Yes</v>
      </c>
      <c r="O117" s="17" t="inlineStr">
        <is>
          <t>E25</t>
        </is>
      </c>
      <c r="P117" s="18" t="inlineStr">
        <is>
          <t>Engines: MySQL, MS SQL Server, Oracle, PostgreSQL.</t>
        </is>
      </c>
    </row>
    <row r="118" ht="41.7" customHeight="1">
      <c r="A118" s="17" t="n">
        <v>24</v>
      </c>
      <c r="B118" s="18" t="inlineStr">
        <is>
          <t>Advanced SQL</t>
        </is>
      </c>
      <c r="C118" s="18" t="inlineStr">
        <is>
          <t>Window Functions – LAG / LEAD &amp; Running Totals</t>
        </is>
      </c>
      <c r="D118" s="17" t="inlineStr">
        <is>
          <t>Q2</t>
        </is>
      </c>
      <c r="E118" s="18" t="inlineStr">
        <is>
          <t>1204. Last Person to Fit in the Bus</t>
        </is>
      </c>
      <c r="F118" s="17" t="inlineStr">
        <is>
          <t>LeetCode</t>
        </is>
      </c>
      <c r="G118" s="18" t="inlineStr">
        <is>
          <t>Medium (LeetCode: Medium)</t>
        </is>
      </c>
      <c r="H118" s="19" t="str">
        <f>HYPERLINK("https://leetcode.com/problems/last-person-to-fit-in-the-bus/","https://leetcode.com/problems/last-person-to-fit-in-the-bus/")</f>
        <v>https://leetcode.com/problems/last-person-to-fit-in-the-bus/</v>
      </c>
      <c r="I118" s="18" t="inlineStr">
        <is>
          <t>Yes – free problem (not Premium); free LeetCode account to submit</t>
        </is>
      </c>
      <c r="J118" s="18" t="inlineStr">
        <is>
          <t>Running total SUM() OVER (ORDER BY ...)</t>
        </is>
      </c>
      <c r="K118" s="18" t="inlineStr">
        <is>
          <t>T4 ORDER BY / LIMIT, T22 CTE</t>
        </is>
      </c>
      <c r="L118" s="18" t="inlineStr">
        <is>
          <t>Yes – SUM(weight) OVER (ORDER BY turn) &lt;= 1000, last row</t>
        </is>
      </c>
      <c r="M118" s="18" t="inlineStr">
        <is>
          <t>Added (verified)</t>
        </is>
      </c>
      <c r="N118" s="17" t="str">
        <f>IF(M118="Added (verified)","Yes","No")</f>
        <v>Yes</v>
      </c>
      <c r="O118" s="17" t="inlineStr">
        <is>
          <t>F25</t>
        </is>
      </c>
      <c r="P118" s="18" t="inlineStr">
        <is>
          <t>Engines: MySQL, MS SQL Server, Oracle, PostgreSQL.</t>
        </is>
      </c>
    </row>
    <row r="119" ht="41.7" customHeight="1">
      <c r="A119" s="17" t="n">
        <v>24</v>
      </c>
      <c r="B119" s="18" t="inlineStr">
        <is>
          <t>Advanced SQL</t>
        </is>
      </c>
      <c r="C119" s="18" t="inlineStr">
        <is>
          <t>Window Functions – LAG / LEAD &amp; Running Totals</t>
        </is>
      </c>
      <c r="D119" s="17" t="inlineStr">
        <is>
          <t>Q3</t>
        </is>
      </c>
      <c r="E119" s="18" t="inlineStr">
        <is>
          <t>1321. Restaurant Growth</t>
        </is>
      </c>
      <c r="F119" s="17" t="inlineStr">
        <is>
          <t>LeetCode</t>
        </is>
      </c>
      <c r="G119" s="18" t="inlineStr">
        <is>
          <t>Medium (LeetCode: Medium)</t>
        </is>
      </c>
      <c r="H119" s="19" t="str">
        <f>HYPERLINK("https://leetcode.com/problems/restaurant-growth/","https://leetcode.com/problems/restaurant-growth/")</f>
        <v>https://leetcode.com/problems/restaurant-growth/</v>
      </c>
      <c r="I119" s="18" t="inlineStr">
        <is>
          <t>Yes – free problem (not Premium); free LeetCode account to submit</t>
        </is>
      </c>
      <c r="J119" s="18" t="inlineStr">
        <is>
          <t>Moving 7-day window (ROWS BETWEEN 6 PRECEDING AND CURRENT ROW)</t>
        </is>
      </c>
      <c r="K119" s="18" t="inlineStr">
        <is>
          <t>T8 ROUND, T9 GROUP BY, T22 CTE</t>
        </is>
      </c>
      <c r="L119" s="18" t="inlineStr">
        <is>
          <t>Yes – daily totals, then SUM / AVG OVER a 7-row frame</t>
        </is>
      </c>
      <c r="M119" s="18" t="inlineStr">
        <is>
          <t>Added (verified)</t>
        </is>
      </c>
      <c r="N119" s="17" t="str">
        <f>IF(M119="Added (verified)","Yes","No")</f>
        <v>Yes</v>
      </c>
      <c r="O119" s="17" t="inlineStr">
        <is>
          <t>G25</t>
        </is>
      </c>
      <c r="P119" s="18" t="inlineStr">
        <is>
          <t>Engines: MySQL, MS SQL Server, Oracle, PostgreSQL.</t>
        </is>
      </c>
    </row>
    <row r="120" ht="28.8" customHeight="1">
      <c r="A120" s="17" t="n">
        <v>24</v>
      </c>
      <c r="B120" s="18" t="inlineStr">
        <is>
          <t>Advanced SQL</t>
        </is>
      </c>
      <c r="C120" s="18" t="inlineStr">
        <is>
          <t>Window Functions – LAG / LEAD &amp; Running Totals</t>
        </is>
      </c>
      <c r="D120" s="17" t="inlineStr">
        <is>
          <t>Q4</t>
        </is>
      </c>
      <c r="E120" s="18" t="inlineStr">
        <is>
          <t>SQL Project Planning</t>
        </is>
      </c>
      <c r="F120" s="17" t="inlineStr">
        <is>
          <t>HackerRank</t>
        </is>
      </c>
      <c r="G120" s="18" t="inlineStr">
        <is>
          <t>Challenging (HackerRank: Medium)</t>
        </is>
      </c>
      <c r="H120" s="19" t="str">
        <f>HYPERLINK("https://www.hackerrank.com/challenges/sql-projects/problem","https://www.hackerrank.com/challenges/sql-projects/problem")</f>
        <v>https://www.hackerrank.com/challenges/sql-projects/problem</v>
      </c>
      <c r="I120" s="18" t="inlineStr">
        <is>
          <t>Yes – free; free HackerRank account to submit</t>
        </is>
      </c>
      <c r="J120" s="18" t="inlineStr">
        <is>
          <t>Gaps and islands with ROW_NUMBER / LAG</t>
        </is>
      </c>
      <c r="K120" s="18" t="inlineStr">
        <is>
          <t>T12 date arithmetic, T22 CTE</t>
        </is>
      </c>
      <c r="L120" s="18" t="inlineStr">
        <is>
          <t>Yes – group consecutive dates into projects, ORDER BY duration then start date</t>
        </is>
      </c>
      <c r="M120" s="18" t="inlineStr">
        <is>
          <t>Added (verified)</t>
        </is>
      </c>
      <c r="N120" s="17" t="str">
        <f>IF(M120="Added (verified)","Yes","No")</f>
        <v>Yes</v>
      </c>
      <c r="O120" s="17" t="inlineStr">
        <is>
          <t>H25</t>
        </is>
      </c>
      <c r="P120" s="18" t="inlineStr">
        <is>
          <t>Engines: MySQL, MS SQL Server, Oracle, DB2.</t>
        </is>
      </c>
    </row>
    <row r="121" ht="41.7" customHeight="1">
      <c r="A121" s="17" t="n">
        <v>24</v>
      </c>
      <c r="B121" s="18" t="inlineStr">
        <is>
          <t>Advanced SQL</t>
        </is>
      </c>
      <c r="C121" s="18" t="inlineStr">
        <is>
          <t>Window Functions – LAG / LEAD &amp; Running Totals</t>
        </is>
      </c>
      <c r="D121" s="17" t="inlineStr">
        <is>
          <t>Q5</t>
        </is>
      </c>
      <c r="E121" s="18" t="inlineStr">
        <is>
          <t>601. Human Traffic of Stadium</t>
        </is>
      </c>
      <c r="F121" s="17" t="inlineStr">
        <is>
          <t>LeetCode</t>
        </is>
      </c>
      <c r="G121" s="18" t="inlineStr">
        <is>
          <t>Challenging (LeetCode: Hard)</t>
        </is>
      </c>
      <c r="H121" s="19" t="str">
        <f>HYPERLINK("https://leetcode.com/problems/human-traffic-of-stadium/","https://leetcode.com/problems/human-traffic-of-stadium/")</f>
        <v>https://leetcode.com/problems/human-traffic-of-stadium/</v>
      </c>
      <c r="I121" s="18" t="inlineStr">
        <is>
          <t>Yes – free problem (not Premium); free LeetCode account to submit</t>
        </is>
      </c>
      <c r="J121" s="18" t="inlineStr">
        <is>
          <t>Islands of 3+ consecutive ids (ROW_NUMBER difference or LAG / LEAD)</t>
        </is>
      </c>
      <c r="K121" s="18" t="inlineStr">
        <is>
          <t>T10 HAVING, T22 CTE</t>
        </is>
      </c>
      <c r="L121" s="18" t="inlineStr">
        <is>
          <t>Yes – id − ROW_NUMBER() groups consecutive rows; keep groups with COUNT &gt;= 3</t>
        </is>
      </c>
      <c r="M121" s="18" t="inlineStr">
        <is>
          <t>Added (verified)</t>
        </is>
      </c>
      <c r="N121" s="17" t="str">
        <f>IF(M121="Added (verified)","Yes","No")</f>
        <v>Yes</v>
      </c>
      <c r="O121" s="17" t="inlineStr">
        <is>
          <t>I25</t>
        </is>
      </c>
      <c r="P121" s="18" t="inlineStr">
        <is>
          <t>Engines: MySQL, MS SQL Server, Oracle, PostgreSQL.</t>
        </is>
      </c>
    </row>
    <row r="122" ht="67.5" customHeight="1">
      <c r="A122" s="17" t="n">
        <v>25</v>
      </c>
      <c r="B122" s="18" t="inlineStr">
        <is>
          <t>Advanced SQL</t>
        </is>
      </c>
      <c r="C122" s="18" t="inlineStr">
        <is>
          <t>Recursive CTEs</t>
        </is>
      </c>
      <c r="D122" s="17" t="inlineStr">
        <is>
          <t>Q1</t>
        </is>
      </c>
      <c r="E122" s="18" t="inlineStr">
        <is>
          <t>Draw The Triangle 1</t>
        </is>
      </c>
      <c r="F122" s="17" t="inlineStr">
        <is>
          <t>HackerRank</t>
        </is>
      </c>
      <c r="G122" s="18" t="inlineStr">
        <is>
          <t>Easy (HackerRank: Easy)</t>
        </is>
      </c>
      <c r="H122" s="19" t="str">
        <f>HYPERLINK("https://www.hackerrank.com/challenges/draw-the-triangle-1/problem","https://www.hackerrank.com/challenges/draw-the-triangle-1/problem")</f>
        <v>https://www.hackerrank.com/challenges/draw-the-triangle-1/problem</v>
      </c>
      <c r="I122" s="18" t="inlineStr">
        <is>
          <t>Yes – free; free HackerRank account to submit</t>
        </is>
      </c>
      <c r="J122" s="18" t="inlineStr">
        <is>
          <t>Recursive CTE generating 20 rows + REPEAT / REPLICATE</t>
        </is>
      </c>
      <c r="K122" s="18" t="inlineStr">
        <is>
          <t>T6 string functions, T22 CTE</t>
        </is>
      </c>
      <c r="L122" s="18" t="inlineStr">
        <is>
          <t>Yes – recursive counter 20 down to 1, REPEAT('* ', n)</t>
        </is>
      </c>
      <c r="M122" s="18" t="inlineStr">
        <is>
          <t>Added (verified)</t>
        </is>
      </c>
      <c r="N122" s="17" t="str">
        <f>IF(M122="Added (verified)","Yes","No")</f>
        <v>Yes</v>
      </c>
      <c r="O122" s="17" t="inlineStr">
        <is>
          <t>E26</t>
        </is>
      </c>
      <c r="P122" s="18" t="inlineStr">
        <is>
          <t>Engines offered: MySQL, Oracle, MS SQL Server. A recursive CTE (WITH ... UNION ALL) is the standard set-based way to generate the rows; MS SQL Server accepts it directly. Engines: MySQL, MS SQL Server, Oracle (no DB2).</t>
        </is>
      </c>
    </row>
    <row r="123" ht="67.5" customHeight="1">
      <c r="A123" s="17" t="n">
        <v>25</v>
      </c>
      <c r="B123" s="18" t="inlineStr">
        <is>
          <t>Advanced SQL</t>
        </is>
      </c>
      <c r="C123" s="18" t="inlineStr">
        <is>
          <t>Recursive CTEs</t>
        </is>
      </c>
      <c r="D123" s="17" t="inlineStr">
        <is>
          <t>Q2</t>
        </is>
      </c>
      <c r="E123" s="18" t="inlineStr">
        <is>
          <t>Draw The Triangle 2</t>
        </is>
      </c>
      <c r="F123" s="17" t="inlineStr">
        <is>
          <t>HackerRank</t>
        </is>
      </c>
      <c r="G123" s="18" t="inlineStr">
        <is>
          <t>Easy (HackerRank: Easy)</t>
        </is>
      </c>
      <c r="H123" s="19" t="str">
        <f>HYPERLINK("https://www.hackerrank.com/challenges/draw-the-triangle-2/problem","https://www.hackerrank.com/challenges/draw-the-triangle-2/problem")</f>
        <v>https://www.hackerrank.com/challenges/draw-the-triangle-2/problem</v>
      </c>
      <c r="I123" s="18" t="inlineStr">
        <is>
          <t>Yes – free; free HackerRank account to submit</t>
        </is>
      </c>
      <c r="J123" s="18" t="inlineStr">
        <is>
          <t>Recursive CTE generating 20 rows (ascending)</t>
        </is>
      </c>
      <c r="K123" s="18" t="inlineStr">
        <is>
          <t>T6 string functions, T22 CTE</t>
        </is>
      </c>
      <c r="L123" s="18" t="inlineStr">
        <is>
          <t>Yes – recursive counter 1 up to 20, REPEAT('* ', n)</t>
        </is>
      </c>
      <c r="M123" s="18" t="inlineStr">
        <is>
          <t>Added (verified)</t>
        </is>
      </c>
      <c r="N123" s="17" t="str">
        <f>IF(M123="Added (verified)","Yes","No")</f>
        <v>Yes</v>
      </c>
      <c r="O123" s="17" t="inlineStr">
        <is>
          <t>F26</t>
        </is>
      </c>
      <c r="P123" s="18" t="inlineStr">
        <is>
          <t>Engines offered: MySQL, Oracle, MS SQL Server. A recursive CTE (WITH ... UNION ALL) is the standard set-based way to generate the rows; MS SQL Server accepts it directly. Engines: MySQL, MS SQL Server, Oracle (no DB2).</t>
        </is>
      </c>
    </row>
    <row r="124" ht="41.7" customHeight="1">
      <c r="A124" s="17" t="n">
        <v>25</v>
      </c>
      <c r="B124" s="18" t="inlineStr">
        <is>
          <t>Advanced SQL</t>
        </is>
      </c>
      <c r="C124" s="18" t="inlineStr">
        <is>
          <t>Recursive CTEs</t>
        </is>
      </c>
      <c r="D124" s="17" t="inlineStr">
        <is>
          <t>Q3</t>
        </is>
      </c>
      <c r="E124" s="18" t="inlineStr">
        <is>
          <t>Print Prime Numbers</t>
        </is>
      </c>
      <c r="F124" s="17" t="inlineStr">
        <is>
          <t>HackerRank</t>
        </is>
      </c>
      <c r="G124" s="18" t="inlineStr">
        <is>
          <t>Medium (HackerRank: Medium)</t>
        </is>
      </c>
      <c r="H124" s="19" t="str">
        <f>HYPERLINK("https://www.hackerrank.com/challenges/print-prime-numbers/problem","https://www.hackerrank.com/challenges/print-prime-numbers/problem")</f>
        <v>https://www.hackerrank.com/challenges/print-prime-numbers/problem</v>
      </c>
      <c r="I124" s="18" t="inlineStr">
        <is>
          <t>Yes – free; free HackerRank account to submit</t>
        </is>
      </c>
      <c r="J124" s="18" t="inlineStr">
        <is>
          <t>Recursive number generator + NOT EXISTS divisor test + string aggregation</t>
        </is>
      </c>
      <c r="K124" s="18" t="inlineStr">
        <is>
          <t>T8 MOD, T9 GROUP_CONCAT / STRING_AGG, T20 NOT EXISTS</t>
        </is>
      </c>
      <c r="L124" s="18" t="inlineStr">
        <is>
          <t>Yes – numbers 2..1000 from a recursive CTE, keep those with no divisor, join with '&amp;'</t>
        </is>
      </c>
      <c r="M124" s="18" t="inlineStr">
        <is>
          <t>Added (verified)</t>
        </is>
      </c>
      <c r="N124" s="17" t="str">
        <f>IF(M124="Added (verified)","Yes","No")</f>
        <v>Yes</v>
      </c>
      <c r="O124" s="17" t="inlineStr">
        <is>
          <t>G26</t>
        </is>
      </c>
      <c r="P124" s="18" t="inlineStr">
        <is>
          <t>Engines: MySQL, MS SQL Server, Oracle, DB2.</t>
        </is>
      </c>
    </row>
    <row r="125" ht="41.7" customHeight="1">
      <c r="A125" s="17" t="n">
        <v>25</v>
      </c>
      <c r="B125" s="18" t="inlineStr">
        <is>
          <t>Advanced SQL</t>
        </is>
      </c>
      <c r="C125" s="18" t="inlineStr">
        <is>
          <t>Recursive CTEs</t>
        </is>
      </c>
      <c r="D125" s="17" t="inlineStr">
        <is>
          <t>Q4</t>
        </is>
      </c>
      <c r="E125" s="18" t="inlineStr">
        <is>
          <t>3482. Analyze Organization Hierarchy</t>
        </is>
      </c>
      <c r="F125" s="17" t="inlineStr">
        <is>
          <t>LeetCode</t>
        </is>
      </c>
      <c r="G125" s="18" t="inlineStr">
        <is>
          <t>Challenging (LeetCode: Hard)</t>
        </is>
      </c>
      <c r="H125" s="19" t="str">
        <f>HYPERLINK("https://leetcode.com/problems/analyze-organization-hierarchy/","https://leetcode.com/problems/analyze-organization-hierarchy/")</f>
        <v>https://leetcode.com/problems/analyze-organization-hierarchy/</v>
      </c>
      <c r="I125" s="18" t="inlineStr">
        <is>
          <t>Yes – free problem (not Premium); free LeetCode account to submit</t>
        </is>
      </c>
      <c r="J125" s="18" t="inlineStr">
        <is>
          <t>Recursive CTE over a manager tree (levels, team size, budgets)</t>
        </is>
      </c>
      <c r="K125" s="18" t="inlineStr">
        <is>
          <t>T9 GROUP BY, T16 JOIN, T22 CTE</t>
        </is>
      </c>
      <c r="L125" s="18" t="inlineStr">
        <is>
          <t>Yes – WITH RECURSIVE for levels and for every manager–report pair, then aggregate</t>
        </is>
      </c>
      <c r="M125" s="18" t="inlineStr">
        <is>
          <t>Added (verified)</t>
        </is>
      </c>
      <c r="N125" s="17" t="str">
        <f>IF(M125="Added (verified)","Yes","No")</f>
        <v>Yes</v>
      </c>
      <c r="O125" s="17" t="inlineStr">
        <is>
          <t>H26</t>
        </is>
      </c>
      <c r="P125" s="18" t="inlineStr">
        <is>
          <t>Engines: MySQL, MS SQL Server, Oracle, PostgreSQL.</t>
        </is>
      </c>
    </row>
    <row r="126" ht="93.3" customHeight="1">
      <c r="A126" s="17" t="n">
        <v>25</v>
      </c>
      <c r="B126" s="18" t="inlineStr">
        <is>
          <t>Advanced SQL</t>
        </is>
      </c>
      <c r="C126" s="18" t="inlineStr">
        <is>
          <t>Recursive CTEs</t>
        </is>
      </c>
      <c r="D126" s="17" t="inlineStr">
        <is>
          <t>Q5</t>
        </is>
      </c>
      <c r="E126" s="18" t="inlineStr">
        <is>
          <t>Not available</t>
        </is>
      </c>
      <c r="F126" s="17" t="inlineStr">
        <is>
          <t>-</t>
        </is>
      </c>
      <c r="G126" s="18" t="inlineStr">
        <is>
          <t>-</t>
        </is>
      </c>
      <c r="H126" s="18" t="inlineStr">
        <is>
          <t>-</t>
        </is>
      </c>
      <c r="I126" s="18" t="inlineStr">
        <is>
          <t>-</t>
        </is>
      </c>
      <c r="J126" s="18" t="inlineStr">
        <is>
          <t>-</t>
        </is>
      </c>
      <c r="K126" s="18" t="inlineStr">
        <is>
          <t>-</t>
        </is>
      </c>
      <c r="L126" s="18" t="inlineStr">
        <is>
          <t>-</t>
        </is>
      </c>
      <c r="M126" s="18" t="inlineStr">
        <is>
          <t>Not available</t>
        </is>
      </c>
      <c r="N126" s="17" t="str">
        <f>IF(M126="Added (verified)","Yes","No")</f>
        <v>No</v>
      </c>
      <c r="O126" s="17" t="inlineStr">
        <is>
          <t>I26</t>
        </is>
      </c>
      <c r="P126" s="18" t="inlineStr">
        <is>
          <t>No fifth free recursive-CTE problem exists on the approved platforms. LeetCode's other hierarchy / recursion problems (1270, 1384, 1613, 1635, 1767) are Premium; CodeChef's free SQL lessons have no recursive queries; the remaining HackerRank SQL challenges do not need recursion; Codeforces and GeeksforGeeks Practice have no SQL problems.</t>
        </is>
      </c>
    </row>
    <row r="127" ht="41.7" customHeight="1">
      <c r="A127" s="17" t="n">
        <v>26</v>
      </c>
      <c r="B127" s="18" t="inlineStr">
        <is>
          <t>Advanced SQL</t>
        </is>
      </c>
      <c r="C127" s="18" t="inlineStr">
        <is>
          <t>Stored Functions &amp; Procedures</t>
        </is>
      </c>
      <c r="D127" s="17" t="inlineStr">
        <is>
          <t>Q1</t>
        </is>
      </c>
      <c r="E127" s="18" t="inlineStr">
        <is>
          <t>177. Nth Highest Salary</t>
        </is>
      </c>
      <c r="F127" s="17" t="inlineStr">
        <is>
          <t>LeetCode</t>
        </is>
      </c>
      <c r="G127" s="18" t="inlineStr">
        <is>
          <t>Medium (LeetCode: Medium)</t>
        </is>
      </c>
      <c r="H127" s="19" t="str">
        <f>HYPERLINK("https://leetcode.com/problems/nth-highest-salary/","https://leetcode.com/problems/nth-highest-salary/")</f>
        <v>https://leetcode.com/problems/nth-highest-salary/</v>
      </c>
      <c r="I127" s="18" t="inlineStr">
        <is>
          <t>Yes – free problem (not Premium); free LeetCode account to submit</t>
        </is>
      </c>
      <c r="J127" s="18" t="inlineStr">
        <is>
          <t>CREATE FUNCTION with a parameter that returns a scalar</t>
        </is>
      </c>
      <c r="K127" s="18" t="inlineStr">
        <is>
          <t>T4 DISTINCT / ORDER BY / LIMIT ... OFFSET</t>
        </is>
      </c>
      <c r="L127" s="18" t="inlineStr">
        <is>
          <t>Yes – CREATE FUNCTION getNthHighestSalary(N INT) RETURNS INT ... RETURN (SELECT ... LIMIT 1 OFFSET N-1)</t>
        </is>
      </c>
      <c r="M127" s="18" t="inlineStr">
        <is>
          <t>Added (verified)</t>
        </is>
      </c>
      <c r="N127" s="17" t="str">
        <f>IF(M127="Added (verified)","Yes","No")</f>
        <v>Yes</v>
      </c>
      <c r="O127" s="17" t="inlineStr">
        <is>
          <t>E27</t>
        </is>
      </c>
      <c r="P127" s="18" t="inlineStr">
        <is>
          <t>Engines: MySQL, MS SQL Server, Oracle, PostgreSQL.</t>
        </is>
      </c>
    </row>
    <row r="128" ht="106.2" customHeight="1">
      <c r="A128" s="17" t="n">
        <v>26</v>
      </c>
      <c r="B128" s="18" t="inlineStr">
        <is>
          <t>Advanced SQL</t>
        </is>
      </c>
      <c r="C128" s="18" t="inlineStr">
        <is>
          <t>Stored Functions &amp; Procedures</t>
        </is>
      </c>
      <c r="D128" s="17" t="inlineStr">
        <is>
          <t>Q2</t>
        </is>
      </c>
      <c r="E128" s="18" t="inlineStr">
        <is>
          <t>Not available</t>
        </is>
      </c>
      <c r="F128" s="17" t="inlineStr">
        <is>
          <t>-</t>
        </is>
      </c>
      <c r="G128" s="18" t="inlineStr">
        <is>
          <t>-</t>
        </is>
      </c>
      <c r="H128" s="18" t="inlineStr">
        <is>
          <t>-</t>
        </is>
      </c>
      <c r="I128" s="18" t="inlineStr">
        <is>
          <t>-</t>
        </is>
      </c>
      <c r="J128" s="18" t="inlineStr">
        <is>
          <t>-</t>
        </is>
      </c>
      <c r="K128" s="18" t="inlineStr">
        <is>
          <t>-</t>
        </is>
      </c>
      <c r="L128" s="18" t="inlineStr">
        <is>
          <t>-</t>
        </is>
      </c>
      <c r="M128" s="18" t="inlineStr">
        <is>
          <t>Not available</t>
        </is>
      </c>
      <c r="N128" s="17" t="str">
        <f>IF(M128="Added (verified)","Yes","No")</f>
        <v>No</v>
      </c>
      <c r="O128" s="17" t="inlineStr">
        <is>
          <t>F27</t>
        </is>
      </c>
      <c r="P128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</row>
    <row r="129" ht="106.2" customHeight="1">
      <c r="A129" s="17" t="n">
        <v>26</v>
      </c>
      <c r="B129" s="18" t="inlineStr">
        <is>
          <t>Advanced SQL</t>
        </is>
      </c>
      <c r="C129" s="18" t="inlineStr">
        <is>
          <t>Stored Functions &amp; Procedures</t>
        </is>
      </c>
      <c r="D129" s="17" t="inlineStr">
        <is>
          <t>Q3</t>
        </is>
      </c>
      <c r="E129" s="18" t="inlineStr">
        <is>
          <t>Not available</t>
        </is>
      </c>
      <c r="F129" s="17" t="inlineStr">
        <is>
          <t>-</t>
        </is>
      </c>
      <c r="G129" s="18" t="inlineStr">
        <is>
          <t>-</t>
        </is>
      </c>
      <c r="H129" s="18" t="inlineStr">
        <is>
          <t>-</t>
        </is>
      </c>
      <c r="I129" s="18" t="inlineStr">
        <is>
          <t>-</t>
        </is>
      </c>
      <c r="J129" s="18" t="inlineStr">
        <is>
          <t>-</t>
        </is>
      </c>
      <c r="K129" s="18" t="inlineStr">
        <is>
          <t>-</t>
        </is>
      </c>
      <c r="L129" s="18" t="inlineStr">
        <is>
          <t>-</t>
        </is>
      </c>
      <c r="M129" s="18" t="inlineStr">
        <is>
          <t>Not available</t>
        </is>
      </c>
      <c r="N129" s="17" t="str">
        <f>IF(M129="Added (verified)","Yes","No")</f>
        <v>No</v>
      </c>
      <c r="O129" s="17" t="inlineStr">
        <is>
          <t>G27</t>
        </is>
      </c>
      <c r="P129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</row>
    <row r="130" ht="106.2" customHeight="1">
      <c r="A130" s="17" t="n">
        <v>26</v>
      </c>
      <c r="B130" s="18" t="inlineStr">
        <is>
          <t>Advanced SQL</t>
        </is>
      </c>
      <c r="C130" s="18" t="inlineStr">
        <is>
          <t>Stored Functions &amp; Procedures</t>
        </is>
      </c>
      <c r="D130" s="17" t="inlineStr">
        <is>
          <t>Q4</t>
        </is>
      </c>
      <c r="E130" s="18" t="inlineStr">
        <is>
          <t>Not available</t>
        </is>
      </c>
      <c r="F130" s="17" t="inlineStr">
        <is>
          <t>-</t>
        </is>
      </c>
      <c r="G130" s="18" t="inlineStr">
        <is>
          <t>-</t>
        </is>
      </c>
      <c r="H130" s="18" t="inlineStr">
        <is>
          <t>-</t>
        </is>
      </c>
      <c r="I130" s="18" t="inlineStr">
        <is>
          <t>-</t>
        </is>
      </c>
      <c r="J130" s="18" t="inlineStr">
        <is>
          <t>-</t>
        </is>
      </c>
      <c r="K130" s="18" t="inlineStr">
        <is>
          <t>-</t>
        </is>
      </c>
      <c r="L130" s="18" t="inlineStr">
        <is>
          <t>-</t>
        </is>
      </c>
      <c r="M130" s="18" t="inlineStr">
        <is>
          <t>Not available</t>
        </is>
      </c>
      <c r="N130" s="17" t="str">
        <f>IF(M130="Added (verified)","Yes","No")</f>
        <v>No</v>
      </c>
      <c r="O130" s="17" t="inlineStr">
        <is>
          <t>H27</t>
        </is>
      </c>
      <c r="P130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</row>
    <row r="131" ht="106.2" customHeight="1">
      <c r="A131" s="17" t="n">
        <v>26</v>
      </c>
      <c r="B131" s="18" t="inlineStr">
        <is>
          <t>Advanced SQL</t>
        </is>
      </c>
      <c r="C131" s="18" t="inlineStr">
        <is>
          <t>Stored Functions &amp; Procedures</t>
        </is>
      </c>
      <c r="D131" s="17" t="inlineStr">
        <is>
          <t>Q5</t>
        </is>
      </c>
      <c r="E131" s="18" t="inlineStr">
        <is>
          <t>Not available</t>
        </is>
      </c>
      <c r="F131" s="17" t="inlineStr">
        <is>
          <t>-</t>
        </is>
      </c>
      <c r="G131" s="18" t="inlineStr">
        <is>
          <t>-</t>
        </is>
      </c>
      <c r="H131" s="18" t="inlineStr">
        <is>
          <t>-</t>
        </is>
      </c>
      <c r="I131" s="18" t="inlineStr">
        <is>
          <t>-</t>
        </is>
      </c>
      <c r="J131" s="18" t="inlineStr">
        <is>
          <t>-</t>
        </is>
      </c>
      <c r="K131" s="18" t="inlineStr">
        <is>
          <t>-</t>
        </is>
      </c>
      <c r="L131" s="18" t="inlineStr">
        <is>
          <t>-</t>
        </is>
      </c>
      <c r="M131" s="18" t="inlineStr">
        <is>
          <t>Not available</t>
        </is>
      </c>
      <c r="N131" s="17" t="str">
        <f>IF(M131="Added (verified)","Yes","No")</f>
        <v>No</v>
      </c>
      <c r="O131" s="17" t="inlineStr">
        <is>
          <t>I27</t>
        </is>
      </c>
      <c r="P131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</row>
  </sheetData>
  <autoFilter ref="A1:P131"/>
  <conditionalFormatting sqref="M2:M131">
    <cfRule type="expression" priority="1" dxfId="0">
      <formula>$M2="Added (verified)"</formula>
    </cfRule>
    <cfRule type="expression" priority="2" dxfId="1">
      <formula>$M2="Not available"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1" customWidth="1" min="9" max="9"/>
    <col width="72" customWidth="1" min="10" max="10"/>
  </cols>
  <sheetData>
    <row r="1" ht="24" customHeight="1">
      <c r="A1" s="20" t="inlineStr">
        <is>
          <t>SQL Question Bank – Validation Report</t>
        </is>
      </c>
    </row>
    <row r="2" ht="28" customHeight="1">
      <c r="A2" s="14" t="inlineStr">
        <is>
          <t>Checked on 3–4 Oct 2026 against each platform's live problem data. The learning sequence is the row order of 'SQL Practice Links' (Topic 1 = SELECT &amp; Column Aliases ... Topic 26 = Stored Functions &amp; Procedures). Every listed problem is free, appears only once, and needs only its own topic and earlier ones.</t>
        </is>
      </c>
    </row>
    <row r="4">
      <c r="A4" s="21" t="inlineStr">
        <is>
          <t>Summary</t>
        </is>
      </c>
    </row>
    <row r="5">
      <c r="B5" s="22" t="inlineStr">
        <is>
          <t>Topics covered</t>
        </is>
      </c>
      <c r="D5" s="23">
        <f>COUNTA('SQL Practice Links'!C2:C27)</f>
        <v>26</v>
      </c>
      <c r="E5" s="14" t="inlineStr">
        <is>
          <t>Grouped into 7 sections, from SQL basics to advanced SQL.</t>
        </is>
      </c>
    </row>
    <row r="6">
      <c r="B6" s="22" t="inlineStr">
        <is>
          <t>Problem slots (topics x 5)</t>
        </is>
      </c>
      <c r="D6" s="23">
        <f>COUNTA('Question Bank Details'!$A$2:$A$131)</f>
        <v>130</v>
      </c>
      <c r="E6" s="14" t="inlineStr">
        <is>
          <t>Five problems per topic, ordered Q1 (easiest) to Q5 (hardest).</t>
        </is>
      </c>
    </row>
    <row r="7">
      <c r="B7" s="22" t="inlineStr">
        <is>
          <t>Problems added (verified)</t>
        </is>
      </c>
      <c r="D7" s="23">
        <f>COUNTIF('Question Bank Details'!$M$2:$M$131,"Added (verified)")</f>
        <v>125</v>
      </c>
      <c r="E7" s="14" t="inlineStr">
        <is>
          <t>Each one opened live: exists, free, title and difficulty confirmed.</t>
        </is>
      </c>
    </row>
    <row r="8">
      <c r="B8" s="22" t="inlineStr">
        <is>
          <t>Slots with no suitable free problem</t>
        </is>
      </c>
      <c r="D8" s="23">
        <f>COUNTIF('Question Bank Details'!$M$2:$M$131,"Not available")</f>
        <v>5</v>
      </c>
      <c r="E8" s="14" t="inlineStr">
        <is>
          <t>Grey cells in 'SQL Practice Links'; reasons are listed below.</t>
        </is>
      </c>
    </row>
    <row r="9">
      <c r="B9" s="22" t="inlineStr">
        <is>
          <t>Topics with all 5 problems</t>
        </is>
      </c>
      <c r="D9" s="23">
        <f>COUNTIF($D$24:$D$49,5)</f>
        <v>24</v>
      </c>
      <c r="E9" s="14" t="inlineStr"/>
    </row>
    <row r="10">
      <c r="B10" s="22" t="inlineStr">
        <is>
          <t>Topics short of 5</t>
        </is>
      </c>
      <c r="D10" s="23">
        <f>COUNTIF($D$24:$D$49,"&lt;5")</f>
        <v>2</v>
      </c>
      <c r="E10" s="14" t="inlineStr">
        <is>
          <t>Recursive CTEs (4) and Stored Functions &amp; Procedures (1).</t>
        </is>
      </c>
    </row>
    <row r="11">
      <c r="B11" s="22" t="inlineStr">
        <is>
          <t>Duplicate problem links</t>
        </is>
      </c>
      <c r="D11" s="23">
        <f>SUMPRODUCT(('Question Bank Details'!$H$2:$H$131&lt;&gt;"-")*(COUNTIF('Question Bank Details'!$H$2:$H$131,'Question Bank Details'!$H$2:$H$131)&gt;1))</f>
        <v>0</v>
      </c>
      <c r="E11" s="14" t="inlineStr">
        <is>
          <t>Each problem is used in exactly one topic.</t>
        </is>
      </c>
    </row>
    <row r="12">
      <c r="B12" s="22" t="inlineStr">
        <is>
          <t>Links that could not be verified as free</t>
        </is>
      </c>
      <c r="D12" s="23">
        <f>COUNTIF('Question Bank Details'!$I$2:$I$131,"Not verifiable*")</f>
        <v>0</v>
      </c>
      <c r="E12" s="14" t="inlineStr"/>
    </row>
    <row r="14">
      <c r="B14" s="22" t="inlineStr">
        <is>
          <t>Problems by platform</t>
        </is>
      </c>
    </row>
    <row r="15" ht="15.9" customHeight="1">
      <c r="B15" s="24" t="inlineStr">
        <is>
          <t>LeetCode</t>
        </is>
      </c>
      <c r="D15" s="25">
        <f>COUNTIF('Question Bank Details'!$F$2:$F$131,"LeetCode")</f>
        <v>52</v>
      </c>
      <c r="E15" s="14" t="inlineStr">
        <is>
          <t>Free Database problems only (Premium excluded).</t>
        </is>
      </c>
    </row>
    <row r="16" ht="15.9" customHeight="1">
      <c r="B16" s="24" t="inlineStr">
        <is>
          <t>HackerRank</t>
        </is>
      </c>
      <c r="D16" s="25">
        <f>COUNTIF('Question Bank Details'!$F$2:$F$131,"HackerRank")</f>
        <v>29</v>
      </c>
      <c r="E16" s="14" t="inlineStr">
        <is>
          <t>SQL domain challenges (all free).</t>
        </is>
      </c>
    </row>
    <row r="17" ht="15.9" customHeight="1">
      <c r="B17" s="24" t="inlineStr">
        <is>
          <t>CodeChef</t>
        </is>
      </c>
      <c r="D17" s="25">
        <f>COUNTIF('Question Bank Details'!$F$2:$F$131,"CodeChef")</f>
        <v>44</v>
      </c>
      <c r="E17" s="14" t="inlineStr">
        <is>
          <t>Free, non-Pro lessons of 'Learn SQL', 'Learn Advanced SQL' and 'SQL Practice Queries'.</t>
        </is>
      </c>
    </row>
    <row r="18" ht="15.9" customHeight="1">
      <c r="B18" s="24" t="inlineStr">
        <is>
          <t>Codeforces</t>
        </is>
      </c>
      <c r="D18" s="25">
        <f>COUNTIF('Question Bank Details'!$F$2:$F$131,"Codeforces")</f>
        <v>0</v>
      </c>
      <c r="E18" s="14" t="inlineStr">
        <is>
          <t>No SQL problems exist on Codeforces (its problem set has no database / SQL tasks).</t>
        </is>
      </c>
    </row>
    <row r="19" ht="28.8" customHeight="1">
      <c r="B19" s="24" t="inlineStr">
        <is>
          <t>GeeksforGeeks</t>
        </is>
      </c>
      <c r="D19" s="25">
        <f>COUNTIF('Question Bank Details'!$F$2:$F$131,"GeeksforGeeks")</f>
        <v>0</v>
      </c>
      <c r="E19" s="14" t="inlineStr">
        <is>
          <t>No SQL problems on GfG Practice: a full catalogue scan found none that accept SQL (the database-style ones accept only Python / pandas).</t>
        </is>
      </c>
    </row>
    <row r="22">
      <c r="A22" s="21" t="inlineStr">
        <is>
          <t>Per-topic status</t>
        </is>
      </c>
    </row>
    <row r="23" ht="30" customHeight="1">
      <c r="A23" s="16" t="inlineStr">
        <is>
          <t>#</t>
        </is>
      </c>
      <c r="B23" s="16" t="inlineStr">
        <is>
          <t>Section</t>
        </is>
      </c>
      <c r="C23" s="16" t="inlineStr">
        <is>
          <t>Topic</t>
        </is>
      </c>
      <c r="D23" s="16" t="inlineStr">
        <is>
          <t>Problems</t>
        </is>
      </c>
      <c r="E23" s="16" t="inlineStr">
        <is>
          <t>Not available</t>
        </is>
      </c>
      <c r="F23" s="16" t="inlineStr">
        <is>
          <t>Gap to 5</t>
        </is>
      </c>
      <c r="G23" s="16" t="inlineStr">
        <is>
          <t>LeetCode</t>
        </is>
      </c>
      <c r="H23" s="16" t="inlineStr">
        <is>
          <t>HackerRank</t>
        </is>
      </c>
      <c r="I23" s="16" t="inlineStr">
        <is>
          <t>CodeChef</t>
        </is>
      </c>
      <c r="J23" s="16" t="inlineStr">
        <is>
          <t>Other verified free options (not counted)</t>
        </is>
      </c>
    </row>
    <row r="24" ht="15.9" customHeight="1">
      <c r="A24" s="17" t="n">
        <v>1</v>
      </c>
      <c r="B24" s="18" t="inlineStr">
        <is>
          <t>SQL Basics</t>
        </is>
      </c>
      <c r="C24" s="18" t="inlineStr">
        <is>
          <t>SELECT &amp; Column Aliases</t>
        </is>
      </c>
      <c r="D24" s="17">
        <f>COUNTIFS('Question Bank Details'!$A$2:$A$131,$A24,'Question Bank Details'!$N$2:$N$131,"Yes")</f>
        <v>5</v>
      </c>
      <c r="E24" s="17">
        <f>COUNTIFS('Question Bank Details'!$A$2:$A$131,$A24,'Question Bank Details'!$M$2:$M$131,"Not available")</f>
        <v>0</v>
      </c>
      <c r="F24" s="17">
        <f>MAX(0,5-D24)</f>
        <v>0</v>
      </c>
      <c r="G24" s="17">
        <f>COUNTIFS('Question Bank Details'!$A$2:$A$131,$A24,'Question Bank Details'!$F$2:$F$131,"LeetCode")</f>
        <v>0</v>
      </c>
      <c r="H24" s="17">
        <f>COUNTIFS('Question Bank Details'!$A$2:$A$131,$A24,'Question Bank Details'!$F$2:$F$131,"HackerRank")</f>
        <v>2</v>
      </c>
      <c r="I24" s="17">
        <f>COUNTIFS('Question Bank Details'!$A$2:$A$131,$A24,'Question Bank Details'!$F$2:$F$131,"CodeChef")</f>
        <v>3</v>
      </c>
      <c r="J24" s="18" t="inlineStr"/>
    </row>
    <row r="25" ht="15.9" customHeight="1">
      <c r="A25" s="17" t="n">
        <v>2</v>
      </c>
      <c r="B25" s="18" t="inlineStr">
        <is>
          <t>SQL Basics</t>
        </is>
      </c>
      <c r="C25" s="18" t="inlineStr">
        <is>
          <t>CREATE TABLE &amp; INSERT INTO</t>
        </is>
      </c>
      <c r="D25" s="17">
        <f>COUNTIFS('Question Bank Details'!$A$2:$A$131,$A25,'Question Bank Details'!$N$2:$N$131,"Yes")</f>
        <v>5</v>
      </c>
      <c r="E25" s="17">
        <f>COUNTIFS('Question Bank Details'!$A$2:$A$131,$A25,'Question Bank Details'!$M$2:$M$131,"Not available")</f>
        <v>0</v>
      </c>
      <c r="F25" s="17">
        <f>MAX(0,5-D25)</f>
        <v>0</v>
      </c>
      <c r="G25" s="17">
        <f>COUNTIFS('Question Bank Details'!$A$2:$A$131,$A25,'Question Bank Details'!$F$2:$F$131,"LeetCode")</f>
        <v>0</v>
      </c>
      <c r="H25" s="17">
        <f>COUNTIFS('Question Bank Details'!$A$2:$A$131,$A25,'Question Bank Details'!$F$2:$F$131,"HackerRank")</f>
        <v>0</v>
      </c>
      <c r="I25" s="17">
        <f>COUNTIFS('Question Bank Details'!$A$2:$A$131,$A25,'Question Bank Details'!$F$2:$F$131,"CodeChef")</f>
        <v>5</v>
      </c>
      <c r="J25" s="18" t="inlineStr"/>
    </row>
    <row r="26" ht="28.8" customHeight="1">
      <c r="A26" s="17" t="n">
        <v>3</v>
      </c>
      <c r="B26" s="18" t="inlineStr">
        <is>
          <t>SQL Basics</t>
        </is>
      </c>
      <c r="C26" s="18" t="inlineStr">
        <is>
          <t>Filtering with WHERE</t>
        </is>
      </c>
      <c r="D26" s="17">
        <f>COUNTIFS('Question Bank Details'!$A$2:$A$131,$A26,'Question Bank Details'!$N$2:$N$131,"Yes")</f>
        <v>5</v>
      </c>
      <c r="E26" s="17">
        <f>COUNTIFS('Question Bank Details'!$A$2:$A$131,$A26,'Question Bank Details'!$M$2:$M$131,"Not available")</f>
        <v>0</v>
      </c>
      <c r="F26" s="17">
        <f>MAX(0,5-D26)</f>
        <v>0</v>
      </c>
      <c r="G26" s="17">
        <f>COUNTIFS('Question Bank Details'!$A$2:$A$131,$A26,'Question Bank Details'!$F$2:$F$131,"LeetCode")</f>
        <v>2</v>
      </c>
      <c r="H26" s="17">
        <f>COUNTIFS('Question Bank Details'!$A$2:$A$131,$A26,'Question Bank Details'!$F$2:$F$131,"HackerRank")</f>
        <v>1</v>
      </c>
      <c r="I26" s="17">
        <f>COUNTIFS('Question Bank Details'!$A$2:$A$131,$A26,'Question Bank Details'!$F$2:$F$131,"CodeChef")</f>
        <v>2</v>
      </c>
      <c r="J26" s="18" t="inlineStr">
        <is>
          <t>LeetCode 595 Big Countries; HackerRank Revising the Select Query II, Japanese Cities' Attributes; CodeChef GSQ20 Basic query with Where Clause</t>
        </is>
      </c>
    </row>
    <row r="27" ht="28.8" customHeight="1">
      <c r="A27" s="17" t="n">
        <v>4</v>
      </c>
      <c r="B27" s="18" t="inlineStr">
        <is>
          <t>SQL Basics</t>
        </is>
      </c>
      <c r="C27" s="18" t="inlineStr">
        <is>
          <t>DISTINCT, ORDER BY &amp; LIMIT</t>
        </is>
      </c>
      <c r="D27" s="17">
        <f>COUNTIFS('Question Bank Details'!$A$2:$A$131,$A27,'Question Bank Details'!$N$2:$N$131,"Yes")</f>
        <v>5</v>
      </c>
      <c r="E27" s="17">
        <f>COUNTIFS('Question Bank Details'!$A$2:$A$131,$A27,'Question Bank Details'!$M$2:$M$131,"Not available")</f>
        <v>0</v>
      </c>
      <c r="F27" s="17">
        <f>MAX(0,5-D27)</f>
        <v>0</v>
      </c>
      <c r="G27" s="17">
        <f>COUNTIFS('Question Bank Details'!$A$2:$A$131,$A27,'Question Bank Details'!$F$2:$F$131,"LeetCode")</f>
        <v>1</v>
      </c>
      <c r="H27" s="17">
        <f>COUNTIFS('Question Bank Details'!$A$2:$A$131,$A27,'Question Bank Details'!$F$2:$F$131,"HackerRank")</f>
        <v>2</v>
      </c>
      <c r="I27" s="17">
        <f>COUNTIFS('Question Bank Details'!$A$2:$A$131,$A27,'Question Bank Details'!$F$2:$F$131,"CodeChef")</f>
        <v>2</v>
      </c>
      <c r="J27" s="18" t="inlineStr">
        <is>
          <t>CodeChef SQLPBP08 Salary of Employees (WHERE + ORDER BY DESC), GSQ18 DISTINCT</t>
        </is>
      </c>
    </row>
    <row r="28" ht="28.8" customHeight="1">
      <c r="A28" s="17" t="n">
        <v>5</v>
      </c>
      <c r="B28" s="18" t="inlineStr">
        <is>
          <t>SQL Basics</t>
        </is>
      </c>
      <c r="C28" s="18" t="inlineStr">
        <is>
          <t>BETWEEN, IN &amp; LIKE</t>
        </is>
      </c>
      <c r="D28" s="17">
        <f>COUNTIFS('Question Bank Details'!$A$2:$A$131,$A28,'Question Bank Details'!$N$2:$N$131,"Yes")</f>
        <v>5</v>
      </c>
      <c r="E28" s="17">
        <f>COUNTIFS('Question Bank Details'!$A$2:$A$131,$A28,'Question Bank Details'!$M$2:$M$131,"Not available")</f>
        <v>0</v>
      </c>
      <c r="F28" s="17">
        <f>MAX(0,5-D28)</f>
        <v>0</v>
      </c>
      <c r="G28" s="17">
        <f>COUNTIFS('Question Bank Details'!$A$2:$A$131,$A28,'Question Bank Details'!$F$2:$F$131,"LeetCode")</f>
        <v>1</v>
      </c>
      <c r="H28" s="17">
        <f>COUNTIFS('Question Bank Details'!$A$2:$A$131,$A28,'Question Bank Details'!$F$2:$F$131,"HackerRank")</f>
        <v>2</v>
      </c>
      <c r="I28" s="17">
        <f>COUNTIFS('Question Bank Details'!$A$2:$A$131,$A28,'Question Bank Details'!$F$2:$F$131,"CodeChef")</f>
        <v>2</v>
      </c>
      <c r="J28" s="18" t="inlineStr">
        <is>
          <t>CodeChef SQLPBP15 Locate People (LIKE 'S%'), GSQ25 Like; HackerRank Weather Observation Station 8, 10</t>
        </is>
      </c>
    </row>
    <row r="29" ht="15.9" customHeight="1">
      <c r="A29" s="17" t="n">
        <v>6</v>
      </c>
      <c r="B29" s="18" t="inlineStr">
        <is>
          <t>Functions &amp; Aggregation</t>
        </is>
      </c>
      <c r="C29" s="18" t="inlineStr">
        <is>
          <t>String Functions</t>
        </is>
      </c>
      <c r="D29" s="17">
        <f>COUNTIFS('Question Bank Details'!$A$2:$A$131,$A29,'Question Bank Details'!$N$2:$N$131,"Yes")</f>
        <v>5</v>
      </c>
      <c r="E29" s="17">
        <f>COUNTIFS('Question Bank Details'!$A$2:$A$131,$A29,'Question Bank Details'!$M$2:$M$131,"Not available")</f>
        <v>0</v>
      </c>
      <c r="F29" s="17">
        <f>MAX(0,5-D29)</f>
        <v>0</v>
      </c>
      <c r="G29" s="17">
        <f>COUNTIFS('Question Bank Details'!$A$2:$A$131,$A29,'Question Bank Details'!$F$2:$F$131,"LeetCode")</f>
        <v>3</v>
      </c>
      <c r="H29" s="17">
        <f>COUNTIFS('Question Bank Details'!$A$2:$A$131,$A29,'Question Bank Details'!$F$2:$F$131,"HackerRank")</f>
        <v>2</v>
      </c>
      <c r="I29" s="17">
        <f>COUNTIFS('Question Bank Details'!$A$2:$A$131,$A29,'Question Bank Details'!$F$2:$F$131,"CodeChef")</f>
        <v>0</v>
      </c>
      <c r="J29" s="18" t="inlineStr"/>
    </row>
    <row r="30" ht="28.8" customHeight="1">
      <c r="A30" s="17" t="n">
        <v>7</v>
      </c>
      <c r="B30" s="18" t="inlineStr">
        <is>
          <t>Functions &amp; Aggregation</t>
        </is>
      </c>
      <c r="C30" s="18" t="inlineStr">
        <is>
          <t>Aggregate Functions</t>
        </is>
      </c>
      <c r="D30" s="17">
        <f>COUNTIFS('Question Bank Details'!$A$2:$A$131,$A30,'Question Bank Details'!$N$2:$N$131,"Yes")</f>
        <v>5</v>
      </c>
      <c r="E30" s="17">
        <f>COUNTIFS('Question Bank Details'!$A$2:$A$131,$A30,'Question Bank Details'!$M$2:$M$131,"Not available")</f>
        <v>0</v>
      </c>
      <c r="F30" s="17">
        <f>MAX(0,5-D30)</f>
        <v>0</v>
      </c>
      <c r="G30" s="17">
        <f>COUNTIFS('Question Bank Details'!$A$2:$A$131,$A30,'Question Bank Details'!$F$2:$F$131,"LeetCode")</f>
        <v>0</v>
      </c>
      <c r="H30" s="17">
        <f>COUNTIFS('Question Bank Details'!$A$2:$A$131,$A30,'Question Bank Details'!$F$2:$F$131,"HackerRank")</f>
        <v>2</v>
      </c>
      <c r="I30" s="17">
        <f>COUNTIFS('Question Bank Details'!$A$2:$A$131,$A30,'Question Bank Details'!$F$2:$F$131,"CodeChef")</f>
        <v>3</v>
      </c>
      <c r="J30" s="18" t="inlineStr">
        <is>
          <t>HackerRank Revising Aggregations - Sum / Averages, Japan Population, Weather Observation Station 4; CodeChef GSQ40</t>
        </is>
      </c>
    </row>
    <row r="31" ht="28.8" customHeight="1">
      <c r="A31" s="17" t="n">
        <v>8</v>
      </c>
      <c r="B31" s="18" t="inlineStr">
        <is>
          <t>Functions &amp; Aggregation</t>
        </is>
      </c>
      <c r="C31" s="18" t="inlineStr">
        <is>
          <t>Numeric Functions</t>
        </is>
      </c>
      <c r="D31" s="17">
        <f>COUNTIFS('Question Bank Details'!$A$2:$A$131,$A31,'Question Bank Details'!$N$2:$N$131,"Yes")</f>
        <v>5</v>
      </c>
      <c r="E31" s="17">
        <f>COUNTIFS('Question Bank Details'!$A$2:$A$131,$A31,'Question Bank Details'!$M$2:$M$131,"Not available")</f>
        <v>0</v>
      </c>
      <c r="F31" s="17">
        <f>MAX(0,5-D31)</f>
        <v>0</v>
      </c>
      <c r="G31" s="17">
        <f>COUNTIFS('Question Bank Details'!$A$2:$A$131,$A31,'Question Bank Details'!$F$2:$F$131,"LeetCode")</f>
        <v>1</v>
      </c>
      <c r="H31" s="17">
        <f>COUNTIFS('Question Bank Details'!$A$2:$A$131,$A31,'Question Bank Details'!$F$2:$F$131,"HackerRank")</f>
        <v>3</v>
      </c>
      <c r="I31" s="17">
        <f>COUNTIFS('Question Bank Details'!$A$2:$A$131,$A31,'Question Bank Details'!$F$2:$F$131,"CodeChef")</f>
        <v>1</v>
      </c>
      <c r="J31" s="18" t="inlineStr">
        <is>
          <t>HackerRank Weather Observation Station 2, 15, 17, 18; CodeChef GSQ58 Debug this query</t>
        </is>
      </c>
    </row>
    <row r="32" ht="28.8" customHeight="1">
      <c r="A32" s="17" t="n">
        <v>9</v>
      </c>
      <c r="B32" s="18" t="inlineStr">
        <is>
          <t>Functions &amp; Aggregation</t>
        </is>
      </c>
      <c r="C32" s="18" t="inlineStr">
        <is>
          <t>GROUP BY</t>
        </is>
      </c>
      <c r="D32" s="17">
        <f>COUNTIFS('Question Bank Details'!$A$2:$A$131,$A32,'Question Bank Details'!$N$2:$N$131,"Yes")</f>
        <v>5</v>
      </c>
      <c r="E32" s="17">
        <f>COUNTIFS('Question Bank Details'!$A$2:$A$131,$A32,'Question Bank Details'!$M$2:$M$131,"Not available")</f>
        <v>0</v>
      </c>
      <c r="F32" s="17">
        <f>MAX(0,5-D32)</f>
        <v>0</v>
      </c>
      <c r="G32" s="17">
        <f>COUNTIFS('Question Bank Details'!$A$2:$A$131,$A32,'Question Bank Details'!$F$2:$F$131,"LeetCode")</f>
        <v>3</v>
      </c>
      <c r="H32" s="17">
        <f>COUNTIFS('Question Bank Details'!$A$2:$A$131,$A32,'Question Bank Details'!$F$2:$F$131,"HackerRank")</f>
        <v>1</v>
      </c>
      <c r="I32" s="17">
        <f>COUNTIFS('Question Bank Details'!$A$2:$A$131,$A32,'Question Bank Details'!$F$2:$F$131,"CodeChef")</f>
        <v>1</v>
      </c>
      <c r="J32" s="18" t="inlineStr">
        <is>
          <t>LeetCode 1693 Daily Leads and Partners, 511 Game Play Analysis I, 1729 Find Followers Count; CodeChef GSQ45 Group By</t>
        </is>
      </c>
    </row>
    <row r="33" ht="15.9" customHeight="1">
      <c r="A33" s="17" t="n">
        <v>10</v>
      </c>
      <c r="B33" s="18" t="inlineStr">
        <is>
          <t>Functions &amp; Aggregation</t>
        </is>
      </c>
      <c r="C33" s="18" t="inlineStr">
        <is>
          <t>HAVING</t>
        </is>
      </c>
      <c r="D33" s="17">
        <f>COUNTIFS('Question Bank Details'!$A$2:$A$131,$A33,'Question Bank Details'!$N$2:$N$131,"Yes")</f>
        <v>5</v>
      </c>
      <c r="E33" s="17">
        <f>COUNTIFS('Question Bank Details'!$A$2:$A$131,$A33,'Question Bank Details'!$M$2:$M$131,"Not available")</f>
        <v>0</v>
      </c>
      <c r="F33" s="17">
        <f>MAX(0,5-D33)</f>
        <v>0</v>
      </c>
      <c r="G33" s="17">
        <f>COUNTIFS('Question Bank Details'!$A$2:$A$131,$A33,'Question Bank Details'!$F$2:$F$131,"LeetCode")</f>
        <v>3</v>
      </c>
      <c r="H33" s="17">
        <f>COUNTIFS('Question Bank Details'!$A$2:$A$131,$A33,'Question Bank Details'!$F$2:$F$131,"HackerRank")</f>
        <v>0</v>
      </c>
      <c r="I33" s="17">
        <f>COUNTIFS('Question Bank Details'!$A$2:$A$131,$A33,'Question Bank Details'!$F$2:$F$131,"CodeChef")</f>
        <v>2</v>
      </c>
      <c r="J33" s="18" t="inlineStr">
        <is>
          <t>CodeChef GSQ59 Debug this code (GROUP BY + HAVING)</t>
        </is>
      </c>
    </row>
    <row r="34" ht="15.9" customHeight="1">
      <c r="A34" s="17" t="n">
        <v>11</v>
      </c>
      <c r="B34" s="18" t="inlineStr">
        <is>
          <t>Conditional Logic &amp; Dates</t>
        </is>
      </c>
      <c r="C34" s="18" t="inlineStr">
        <is>
          <t>CASE Expressions</t>
        </is>
      </c>
      <c r="D34" s="17">
        <f>COUNTIFS('Question Bank Details'!$A$2:$A$131,$A34,'Question Bank Details'!$N$2:$N$131,"Yes")</f>
        <v>5</v>
      </c>
      <c r="E34" s="17">
        <f>COUNTIFS('Question Bank Details'!$A$2:$A$131,$A34,'Question Bank Details'!$M$2:$M$131,"Not available")</f>
        <v>0</v>
      </c>
      <c r="F34" s="17">
        <f>MAX(0,5-D34)</f>
        <v>0</v>
      </c>
      <c r="G34" s="17">
        <f>COUNTIFS('Question Bank Details'!$A$2:$A$131,$A34,'Question Bank Details'!$F$2:$F$131,"LeetCode")</f>
        <v>2</v>
      </c>
      <c r="H34" s="17">
        <f>COUNTIFS('Question Bank Details'!$A$2:$A$131,$A34,'Question Bank Details'!$F$2:$F$131,"HackerRank")</f>
        <v>1</v>
      </c>
      <c r="I34" s="17">
        <f>COUNTIFS('Question Bank Details'!$A$2:$A$131,$A34,'Question Bank Details'!$F$2:$F$131,"CodeChef")</f>
        <v>2</v>
      </c>
      <c r="J34" s="18" t="inlineStr">
        <is>
          <t>CodeChef GSQ82 Count using Case</t>
        </is>
      </c>
    </row>
    <row r="35" ht="15.9" customHeight="1">
      <c r="A35" s="17" t="n">
        <v>12</v>
      </c>
      <c r="B35" s="18" t="inlineStr">
        <is>
          <t>Conditional Logic &amp; Dates</t>
        </is>
      </c>
      <c r="C35" s="18" t="inlineStr">
        <is>
          <t>Date &amp; Time Functions</t>
        </is>
      </c>
      <c r="D35" s="17">
        <f>COUNTIFS('Question Bank Details'!$A$2:$A$131,$A35,'Question Bank Details'!$N$2:$N$131,"Yes")</f>
        <v>5</v>
      </c>
      <c r="E35" s="17">
        <f>COUNTIFS('Question Bank Details'!$A$2:$A$131,$A35,'Question Bank Details'!$M$2:$M$131,"Not available")</f>
        <v>0</v>
      </c>
      <c r="F35" s="17">
        <f>MAX(0,5-D35)</f>
        <v>0</v>
      </c>
      <c r="G35" s="17">
        <f>COUNTIFS('Question Bank Details'!$A$2:$A$131,$A35,'Question Bank Details'!$F$2:$F$131,"LeetCode")</f>
        <v>3</v>
      </c>
      <c r="H35" s="17">
        <f>COUNTIFS('Question Bank Details'!$A$2:$A$131,$A35,'Question Bank Details'!$F$2:$F$131,"HackerRank")</f>
        <v>0</v>
      </c>
      <c r="I35" s="17">
        <f>COUNTIFS('Question Bank Details'!$A$2:$A$131,$A35,'Question Bank Details'!$F$2:$F$131,"CodeChef")</f>
        <v>2</v>
      </c>
      <c r="J35" s="18" t="inlineStr"/>
    </row>
    <row r="36" ht="28.8" customHeight="1">
      <c r="A36" s="17" t="n">
        <v>13</v>
      </c>
      <c r="B36" s="18" t="inlineStr">
        <is>
          <t>Conditional Logic &amp; Dates</t>
        </is>
      </c>
      <c r="C36" s="18" t="inlineStr">
        <is>
          <t>Pivoting &amp; Conditional Aggregation</t>
        </is>
      </c>
      <c r="D36" s="17">
        <f>COUNTIFS('Question Bank Details'!$A$2:$A$131,$A36,'Question Bank Details'!$N$2:$N$131,"Yes")</f>
        <v>5</v>
      </c>
      <c r="E36" s="17">
        <f>COUNTIFS('Question Bank Details'!$A$2:$A$131,$A36,'Question Bank Details'!$M$2:$M$131,"Not available")</f>
        <v>0</v>
      </c>
      <c r="F36" s="17">
        <f>MAX(0,5-D36)</f>
        <v>0</v>
      </c>
      <c r="G36" s="17">
        <f>COUNTIFS('Question Bank Details'!$A$2:$A$131,$A36,'Question Bank Details'!$F$2:$F$131,"LeetCode")</f>
        <v>4</v>
      </c>
      <c r="H36" s="17">
        <f>COUNTIFS('Question Bank Details'!$A$2:$A$131,$A36,'Question Bank Details'!$F$2:$F$131,"HackerRank")</f>
        <v>0</v>
      </c>
      <c r="I36" s="17">
        <f>COUNTIFS('Question Bank Details'!$A$2:$A$131,$A36,'Question Bank Details'!$F$2:$F$131,"CodeChef")</f>
        <v>1</v>
      </c>
      <c r="J36" s="18" t="inlineStr">
        <is>
          <t>LeetCode 3705 Find Golden Hour Customers, 3497 Analyze Subscription Conversion</t>
        </is>
      </c>
    </row>
    <row r="37" ht="28.8" customHeight="1">
      <c r="A37" s="17" t="n">
        <v>14</v>
      </c>
      <c r="B37" s="18" t="inlineStr">
        <is>
          <t>Data Modification &amp; Schema</t>
        </is>
      </c>
      <c r="C37" s="18" t="inlineStr">
        <is>
          <t>UPDATE &amp; DELETE</t>
        </is>
      </c>
      <c r="D37" s="17">
        <f>COUNTIFS('Question Bank Details'!$A$2:$A$131,$A37,'Question Bank Details'!$N$2:$N$131,"Yes")</f>
        <v>5</v>
      </c>
      <c r="E37" s="17">
        <f>COUNTIFS('Question Bank Details'!$A$2:$A$131,$A37,'Question Bank Details'!$M$2:$M$131,"Not available")</f>
        <v>0</v>
      </c>
      <c r="F37" s="17">
        <f>MAX(0,5-D37)</f>
        <v>0</v>
      </c>
      <c r="G37" s="17">
        <f>COUNTIFS('Question Bank Details'!$A$2:$A$131,$A37,'Question Bank Details'!$F$2:$F$131,"LeetCode")</f>
        <v>1</v>
      </c>
      <c r="H37" s="17">
        <f>COUNTIFS('Question Bank Details'!$A$2:$A$131,$A37,'Question Bank Details'!$F$2:$F$131,"HackerRank")</f>
        <v>0</v>
      </c>
      <c r="I37" s="17">
        <f>COUNTIFS('Question Bank Details'!$A$2:$A$131,$A37,'Question Bank Details'!$F$2:$F$131,"CodeChef")</f>
        <v>4</v>
      </c>
      <c r="J37" s="18" t="inlineStr">
        <is>
          <t>CodeChef GSQ09 update table, GSQ12 Delete From, GSQ55 Update Single Record, RSMSPR05A, RSMSPR07C</t>
        </is>
      </c>
    </row>
    <row r="38" ht="28.8" customHeight="1">
      <c r="A38" s="17" t="n">
        <v>15</v>
      </c>
      <c r="B38" s="18" t="inlineStr">
        <is>
          <t>Data Modification &amp; Schema</t>
        </is>
      </c>
      <c r="C38" s="18" t="inlineStr">
        <is>
          <t>ALTER TABLE &amp; Constraints</t>
        </is>
      </c>
      <c r="D38" s="17">
        <f>COUNTIFS('Question Bank Details'!$A$2:$A$131,$A38,'Question Bank Details'!$N$2:$N$131,"Yes")</f>
        <v>5</v>
      </c>
      <c r="E38" s="17">
        <f>COUNTIFS('Question Bank Details'!$A$2:$A$131,$A38,'Question Bank Details'!$M$2:$M$131,"Not available")</f>
        <v>0</v>
      </c>
      <c r="F38" s="17">
        <f>MAX(0,5-D38)</f>
        <v>0</v>
      </c>
      <c r="G38" s="17">
        <f>COUNTIFS('Question Bank Details'!$A$2:$A$131,$A38,'Question Bank Details'!$F$2:$F$131,"LeetCode")</f>
        <v>0</v>
      </c>
      <c r="H38" s="17">
        <f>COUNTIFS('Question Bank Details'!$A$2:$A$131,$A38,'Question Bank Details'!$F$2:$F$131,"HackerRank")</f>
        <v>0</v>
      </c>
      <c r="I38" s="17">
        <f>COUNTIFS('Question Bank Details'!$A$2:$A$131,$A38,'Question Bank Details'!$F$2:$F$131,"CodeChef")</f>
        <v>5</v>
      </c>
      <c r="J38" s="18" t="inlineStr">
        <is>
          <t>CodeChef SQLKEY01B ON DELETE CASCADE, SQLKEY01C ON DELETE SET NULL, RSMSPR04B, RSMSPR04D, GSQ54</t>
        </is>
      </c>
    </row>
    <row r="39" ht="28.8" customHeight="1">
      <c r="A39" s="17" t="n">
        <v>16</v>
      </c>
      <c r="B39" s="18" t="inlineStr">
        <is>
          <t>Joins</t>
        </is>
      </c>
      <c r="C39" s="18" t="inlineStr">
        <is>
          <t>INNER JOIN</t>
        </is>
      </c>
      <c r="D39" s="17">
        <f>COUNTIFS('Question Bank Details'!$A$2:$A$131,$A39,'Question Bank Details'!$N$2:$N$131,"Yes")</f>
        <v>5</v>
      </c>
      <c r="E39" s="17">
        <f>COUNTIFS('Question Bank Details'!$A$2:$A$131,$A39,'Question Bank Details'!$M$2:$M$131,"Not available")</f>
        <v>0</v>
      </c>
      <c r="F39" s="17">
        <f>MAX(0,5-D39)</f>
        <v>0</v>
      </c>
      <c r="G39" s="17">
        <f>COUNTIFS('Question Bank Details'!$A$2:$A$131,$A39,'Question Bank Details'!$F$2:$F$131,"LeetCode")</f>
        <v>1</v>
      </c>
      <c r="H39" s="17">
        <f>COUNTIFS('Question Bank Details'!$A$2:$A$131,$A39,'Question Bank Details'!$F$2:$F$131,"HackerRank")</f>
        <v>3</v>
      </c>
      <c r="I39" s="17">
        <f>COUNTIFS('Question Bank Details'!$A$2:$A$131,$A39,'Question Bank Details'!$F$2:$F$131,"CodeChef")</f>
        <v>1</v>
      </c>
      <c r="J39" s="18" t="inlineStr">
        <is>
          <t>LeetCode 1075 Project Employees I, 1587 Bank Account Summary II; HackerRank Population Census, Average Population of Each Continent; CodeChef GSQ68A</t>
        </is>
      </c>
    </row>
    <row r="40" ht="28.8" customHeight="1">
      <c r="A40" s="17" t="n">
        <v>17</v>
      </c>
      <c r="B40" s="18" t="inlineStr">
        <is>
          <t>Joins</t>
        </is>
      </c>
      <c r="C40" s="18" t="inlineStr">
        <is>
          <t>LEFT / RIGHT / FULL OUTER JOIN</t>
        </is>
      </c>
      <c r="D40" s="17">
        <f>COUNTIFS('Question Bank Details'!$A$2:$A$131,$A40,'Question Bank Details'!$N$2:$N$131,"Yes")</f>
        <v>5</v>
      </c>
      <c r="E40" s="17">
        <f>COUNTIFS('Question Bank Details'!$A$2:$A$131,$A40,'Question Bank Details'!$M$2:$M$131,"Not available")</f>
        <v>0</v>
      </c>
      <c r="F40" s="17">
        <f>MAX(0,5-D40)</f>
        <v>0</v>
      </c>
      <c r="G40" s="17">
        <f>COUNTIFS('Question Bank Details'!$A$2:$A$131,$A40,'Question Bank Details'!$F$2:$F$131,"LeetCode")</f>
        <v>4</v>
      </c>
      <c r="H40" s="17">
        <f>COUNTIFS('Question Bank Details'!$A$2:$A$131,$A40,'Question Bank Details'!$F$2:$F$131,"HackerRank")</f>
        <v>0</v>
      </c>
      <c r="I40" s="17">
        <f>COUNTIFS('Question Bank Details'!$A$2:$A$131,$A40,'Question Bank Details'!$F$2:$F$131,"CodeChef")</f>
        <v>1</v>
      </c>
      <c r="J40" s="18" t="inlineStr">
        <is>
          <t>LeetCode 1407 Top Travellers, 577 Employee Bonus, 1934 Confirmation Rate; CodeChef GSQ63 Left Joins, GSQ68B</t>
        </is>
      </c>
    </row>
    <row r="41" ht="15.9" customHeight="1">
      <c r="A41" s="17" t="n">
        <v>18</v>
      </c>
      <c r="B41" s="18" t="inlineStr">
        <is>
          <t>Joins</t>
        </is>
      </c>
      <c r="C41" s="18" t="inlineStr">
        <is>
          <t>SELF JOIN &amp; CROSS JOIN</t>
        </is>
      </c>
      <c r="D41" s="17">
        <f>COUNTIFS('Question Bank Details'!$A$2:$A$131,$A41,'Question Bank Details'!$N$2:$N$131,"Yes")</f>
        <v>5</v>
      </c>
      <c r="E41" s="17">
        <f>COUNTIFS('Question Bank Details'!$A$2:$A$131,$A41,'Question Bank Details'!$M$2:$M$131,"Not available")</f>
        <v>0</v>
      </c>
      <c r="F41" s="17">
        <f>MAX(0,5-D41)</f>
        <v>0</v>
      </c>
      <c r="G41" s="17">
        <f>COUNTIFS('Question Bank Details'!$A$2:$A$131,$A41,'Question Bank Details'!$F$2:$F$131,"LeetCode")</f>
        <v>3</v>
      </c>
      <c r="H41" s="17">
        <f>COUNTIFS('Question Bank Details'!$A$2:$A$131,$A41,'Question Bank Details'!$F$2:$F$131,"HackerRank")</f>
        <v>1</v>
      </c>
      <c r="I41" s="17">
        <f>COUNTIFS('Question Bank Details'!$A$2:$A$131,$A41,'Question Bank Details'!$F$2:$F$131,"CodeChef")</f>
        <v>1</v>
      </c>
      <c r="J41" s="18" t="inlineStr">
        <is>
          <t>CodeChef GSQ65 Cross join, GSQ68D; HackerRank Placements; LeetCode 1731</t>
        </is>
      </c>
    </row>
    <row r="42" ht="28.8" customHeight="1">
      <c r="A42" s="17" t="n">
        <v>19</v>
      </c>
      <c r="B42" s="18" t="inlineStr">
        <is>
          <t>Subqueries &amp; Set Operations</t>
        </is>
      </c>
      <c r="C42" s="18" t="inlineStr">
        <is>
          <t>Subqueries</t>
        </is>
      </c>
      <c r="D42" s="17">
        <f>COUNTIFS('Question Bank Details'!$A$2:$A$131,$A42,'Question Bank Details'!$N$2:$N$131,"Yes")</f>
        <v>5</v>
      </c>
      <c r="E42" s="17">
        <f>COUNTIFS('Question Bank Details'!$A$2:$A$131,$A42,'Question Bank Details'!$M$2:$M$131,"Not available")</f>
        <v>0</v>
      </c>
      <c r="F42" s="17">
        <f>MAX(0,5-D42)</f>
        <v>0</v>
      </c>
      <c r="G42" s="17">
        <f>COUNTIFS('Question Bank Details'!$A$2:$A$131,$A42,'Question Bank Details'!$F$2:$F$131,"LeetCode")</f>
        <v>3</v>
      </c>
      <c r="H42" s="17">
        <f>COUNTIFS('Question Bank Details'!$A$2:$A$131,$A42,'Question Bank Details'!$F$2:$F$131,"HackerRank")</f>
        <v>1</v>
      </c>
      <c r="I42" s="17">
        <f>COUNTIFS('Question Bank Details'!$A$2:$A$131,$A42,'Question Bank Details'!$F$2:$F$131,"CodeChef")</f>
        <v>1</v>
      </c>
      <c r="J42" s="18" t="inlineStr">
        <is>
          <t>CodeChef GSQ70 Non-Correlated Subqueries, GSQ74 (labelled 'correlated' but solved with IN); LeetCode 619 Biggest Single Number, 607 Sales Person</t>
        </is>
      </c>
    </row>
    <row r="43" ht="28.8" customHeight="1">
      <c r="A43" s="17" t="n">
        <v>20</v>
      </c>
      <c r="B43" s="18" t="inlineStr">
        <is>
          <t>Subqueries &amp; Set Operations</t>
        </is>
      </c>
      <c r="C43" s="18" t="inlineStr">
        <is>
          <t>Correlated Subqueries &amp; EXISTS</t>
        </is>
      </c>
      <c r="D43" s="17">
        <f>COUNTIFS('Question Bank Details'!$A$2:$A$131,$A43,'Question Bank Details'!$N$2:$N$131,"Yes")</f>
        <v>5</v>
      </c>
      <c r="E43" s="17">
        <f>COUNTIFS('Question Bank Details'!$A$2:$A$131,$A43,'Question Bank Details'!$M$2:$M$131,"Not available")</f>
        <v>0</v>
      </c>
      <c r="F43" s="17">
        <f>MAX(0,5-D43)</f>
        <v>0</v>
      </c>
      <c r="G43" s="17">
        <f>COUNTIFS('Question Bank Details'!$A$2:$A$131,$A43,'Question Bank Details'!$F$2:$F$131,"LeetCode")</f>
        <v>4</v>
      </c>
      <c r="H43" s="17">
        <f>COUNTIFS('Question Bank Details'!$A$2:$A$131,$A43,'Question Bank Details'!$F$2:$F$131,"HackerRank")</f>
        <v>1</v>
      </c>
      <c r="I43" s="17">
        <f>COUNTIFS('Question Bank Details'!$A$2:$A$131,$A43,'Question Bank Details'!$F$2:$F$131,"CodeChef")</f>
        <v>0</v>
      </c>
      <c r="J43" s="18" t="inlineStr">
        <is>
          <t>LeetCode 1174 Immediate Food Delivery II; HackerRank Challenges, 15 Days of Learning SQL (Hard)</t>
        </is>
      </c>
    </row>
    <row r="44" ht="28.8" customHeight="1">
      <c r="A44" s="17" t="n">
        <v>21</v>
      </c>
      <c r="B44" s="18" t="inlineStr">
        <is>
          <t>Subqueries &amp; Set Operations</t>
        </is>
      </c>
      <c r="C44" s="18" t="inlineStr">
        <is>
          <t>Set Operations</t>
        </is>
      </c>
      <c r="D44" s="17">
        <f>COUNTIFS('Question Bank Details'!$A$2:$A$131,$A44,'Question Bank Details'!$N$2:$N$131,"Yes")</f>
        <v>5</v>
      </c>
      <c r="E44" s="17">
        <f>COUNTIFS('Question Bank Details'!$A$2:$A$131,$A44,'Question Bank Details'!$M$2:$M$131,"Not available")</f>
        <v>0</v>
      </c>
      <c r="F44" s="17">
        <f>MAX(0,5-D44)</f>
        <v>0</v>
      </c>
      <c r="G44" s="17">
        <f>COUNTIFS('Question Bank Details'!$A$2:$A$131,$A44,'Question Bank Details'!$F$2:$F$131,"LeetCode")</f>
        <v>3</v>
      </c>
      <c r="H44" s="17">
        <f>COUNTIFS('Question Bank Details'!$A$2:$A$131,$A44,'Question Bank Details'!$F$2:$F$131,"HackerRank")</f>
        <v>0</v>
      </c>
      <c r="I44" s="17">
        <f>COUNTIFS('Question Bank Details'!$A$2:$A$131,$A44,'Question Bank Details'!$F$2:$F$131,"CodeChef")</f>
        <v>2</v>
      </c>
      <c r="J44" s="18" t="inlineStr">
        <is>
          <t>CodeChef GSQ76 Intersect, GSQ68E Union operation; LeetCode 1965 Employees With Missing Information</t>
        </is>
      </c>
    </row>
    <row r="45" ht="15.9" customHeight="1">
      <c r="A45" s="17" t="n">
        <v>22</v>
      </c>
      <c r="B45" s="18" t="inlineStr">
        <is>
          <t>Advanced SQL</t>
        </is>
      </c>
      <c r="C45" s="18" t="inlineStr">
        <is>
          <t>Common Table Expressions (WITH)</t>
        </is>
      </c>
      <c r="D45" s="17">
        <f>COUNTIFS('Question Bank Details'!$A$2:$A$131,$A45,'Question Bank Details'!$N$2:$N$131,"Yes")</f>
        <v>5</v>
      </c>
      <c r="E45" s="17">
        <f>COUNTIFS('Question Bank Details'!$A$2:$A$131,$A45,'Question Bank Details'!$M$2:$M$131,"Not available")</f>
        <v>0</v>
      </c>
      <c r="F45" s="17">
        <f>MAX(0,5-D45)</f>
        <v>0</v>
      </c>
      <c r="G45" s="17">
        <f>COUNTIFS('Question Bank Details'!$A$2:$A$131,$A45,'Question Bank Details'!$F$2:$F$131,"LeetCode")</f>
        <v>2</v>
      </c>
      <c r="H45" s="17">
        <f>COUNTIFS('Question Bank Details'!$A$2:$A$131,$A45,'Question Bank Details'!$F$2:$F$131,"HackerRank")</f>
        <v>2</v>
      </c>
      <c r="I45" s="17">
        <f>COUNTIFS('Question Bank Details'!$A$2:$A$131,$A45,'Question Bank Details'!$F$2:$F$131,"CodeChef")</f>
        <v>1</v>
      </c>
      <c r="J45" s="18" t="inlineStr">
        <is>
          <t>HackerRank Challenges; LeetCode 262 Trips and Users, 1158 Market Analysis I</t>
        </is>
      </c>
    </row>
    <row r="46" ht="15.9" customHeight="1">
      <c r="A46" s="17" t="n">
        <v>23</v>
      </c>
      <c r="B46" s="18" t="inlineStr">
        <is>
          <t>Advanced SQL</t>
        </is>
      </c>
      <c r="C46" s="18" t="inlineStr">
        <is>
          <t>Window Functions – Ranking</t>
        </is>
      </c>
      <c r="D46" s="17">
        <f>COUNTIFS('Question Bank Details'!$A$2:$A$131,$A46,'Question Bank Details'!$N$2:$N$131,"Yes")</f>
        <v>5</v>
      </c>
      <c r="E46" s="17">
        <f>COUNTIFS('Question Bank Details'!$A$2:$A$131,$A46,'Question Bank Details'!$M$2:$M$131,"Not available")</f>
        <v>0</v>
      </c>
      <c r="F46" s="17">
        <f>MAX(0,5-D46)</f>
        <v>0</v>
      </c>
      <c r="G46" s="17">
        <f>COUNTIFS('Question Bank Details'!$A$2:$A$131,$A46,'Question Bank Details'!$F$2:$F$131,"LeetCode")</f>
        <v>2</v>
      </c>
      <c r="H46" s="17">
        <f>COUNTIFS('Question Bank Details'!$A$2:$A$131,$A46,'Question Bank Details'!$F$2:$F$131,"HackerRank")</f>
        <v>1</v>
      </c>
      <c r="I46" s="17">
        <f>COUNTIFS('Question Bank Details'!$A$2:$A$131,$A46,'Question Bank Details'!$F$2:$F$131,"CodeChef")</f>
        <v>2</v>
      </c>
      <c r="J46" s="18" t="inlineStr">
        <is>
          <t>LeetCode 1789 Primary Department for Each Employee, 602 Friend Requests II</t>
        </is>
      </c>
    </row>
    <row r="47" ht="28.8" customHeight="1">
      <c r="A47" s="17" t="n">
        <v>24</v>
      </c>
      <c r="B47" s="18" t="inlineStr">
        <is>
          <t>Advanced SQL</t>
        </is>
      </c>
      <c r="C47" s="18" t="inlineStr">
        <is>
          <t>Window Functions – LAG / LEAD &amp; Running Totals</t>
        </is>
      </c>
      <c r="D47" s="17">
        <f>COUNTIFS('Question Bank Details'!$A$2:$A$131,$A47,'Question Bank Details'!$N$2:$N$131,"Yes")</f>
        <v>5</v>
      </c>
      <c r="E47" s="17">
        <f>COUNTIFS('Question Bank Details'!$A$2:$A$131,$A47,'Question Bank Details'!$M$2:$M$131,"Not available")</f>
        <v>0</v>
      </c>
      <c r="F47" s="17">
        <f>MAX(0,5-D47)</f>
        <v>0</v>
      </c>
      <c r="G47" s="17">
        <f>COUNTIFS('Question Bank Details'!$A$2:$A$131,$A47,'Question Bank Details'!$F$2:$F$131,"LeetCode")</f>
        <v>4</v>
      </c>
      <c r="H47" s="17">
        <f>COUNTIFS('Question Bank Details'!$A$2:$A$131,$A47,'Question Bank Details'!$F$2:$F$131,"HackerRank")</f>
        <v>1</v>
      </c>
      <c r="I47" s="17">
        <f>COUNTIFS('Question Bank Details'!$A$2:$A$131,$A47,'Question Bank Details'!$F$2:$F$131,"CodeChef")</f>
        <v>0</v>
      </c>
      <c r="J47" s="18" t="inlineStr">
        <is>
          <t>LeetCode 3421 Find Students Who Improved, 3580 Find Consistently Improving Employees, 197 Rising Temperature (LAG version)</t>
        </is>
      </c>
    </row>
    <row r="48" ht="15.9" customHeight="1">
      <c r="A48" s="17" t="n">
        <v>25</v>
      </c>
      <c r="B48" s="18" t="inlineStr">
        <is>
          <t>Advanced SQL</t>
        </is>
      </c>
      <c r="C48" s="18" t="inlineStr">
        <is>
          <t>Recursive CTEs</t>
        </is>
      </c>
      <c r="D48" s="17">
        <f>COUNTIFS('Question Bank Details'!$A$2:$A$131,$A48,'Question Bank Details'!$N$2:$N$131,"Yes")</f>
        <v>4</v>
      </c>
      <c r="E48" s="17">
        <f>COUNTIFS('Question Bank Details'!$A$2:$A$131,$A48,'Question Bank Details'!$M$2:$M$131,"Not available")</f>
        <v>1</v>
      </c>
      <c r="F48" s="17">
        <f>MAX(0,5-D48)</f>
        <v>1</v>
      </c>
      <c r="G48" s="17">
        <f>COUNTIFS('Question Bank Details'!$A$2:$A$131,$A48,'Question Bank Details'!$F$2:$F$131,"LeetCode")</f>
        <v>1</v>
      </c>
      <c r="H48" s="17">
        <f>COUNTIFS('Question Bank Details'!$A$2:$A$131,$A48,'Question Bank Details'!$F$2:$F$131,"HackerRank")</f>
        <v>3</v>
      </c>
      <c r="I48" s="17">
        <f>COUNTIFS('Question Bank Details'!$A$2:$A$131,$A48,'Question Bank Details'!$F$2:$F$131,"CodeChef")</f>
        <v>0</v>
      </c>
      <c r="J48" s="18" t="inlineStr"/>
    </row>
    <row r="49" ht="15.9" customHeight="1">
      <c r="A49" s="17" t="n">
        <v>26</v>
      </c>
      <c r="B49" s="18" t="inlineStr">
        <is>
          <t>Advanced SQL</t>
        </is>
      </c>
      <c r="C49" s="18" t="inlineStr">
        <is>
          <t>Stored Functions &amp; Procedures</t>
        </is>
      </c>
      <c r="D49" s="17">
        <f>COUNTIFS('Question Bank Details'!$A$2:$A$131,$A49,'Question Bank Details'!$N$2:$N$131,"Yes")</f>
        <v>1</v>
      </c>
      <c r="E49" s="17">
        <f>COUNTIFS('Question Bank Details'!$A$2:$A$131,$A49,'Question Bank Details'!$M$2:$M$131,"Not available")</f>
        <v>4</v>
      </c>
      <c r="F49" s="17">
        <f>MAX(0,5-D49)</f>
        <v>4</v>
      </c>
      <c r="G49" s="17">
        <f>COUNTIFS('Question Bank Details'!$A$2:$A$131,$A49,'Question Bank Details'!$F$2:$F$131,"LeetCode")</f>
        <v>1</v>
      </c>
      <c r="H49" s="17">
        <f>COUNTIFS('Question Bank Details'!$A$2:$A$131,$A49,'Question Bank Details'!$F$2:$F$131,"HackerRank")</f>
        <v>0</v>
      </c>
      <c r="I49" s="17">
        <f>COUNTIFS('Question Bank Details'!$A$2:$A$131,$A49,'Question Bank Details'!$F$2:$F$131,"CodeChef")</f>
        <v>0</v>
      </c>
      <c r="J49" s="18" t="inlineStr"/>
    </row>
    <row r="50">
      <c r="C50" s="26" t="inlineStr">
        <is>
          <t>Total</t>
        </is>
      </c>
      <c r="D50" s="27">
        <f>SUM(D24:D49)</f>
        <v>125</v>
      </c>
      <c r="E50" s="27">
        <f>SUM(E24:E49)</f>
        <v>5</v>
      </c>
      <c r="F50" s="27">
        <f>SUM(F24:F49)</f>
        <v>5</v>
      </c>
      <c r="G50" s="27">
        <f>SUM(G24:G49)</f>
        <v>52</v>
      </c>
      <c r="H50" s="27">
        <f>SUM(H24:H49)</f>
        <v>29</v>
      </c>
      <c r="I50" s="27">
        <f>SUM(I24:I49)</f>
        <v>44</v>
      </c>
    </row>
    <row r="52">
      <c r="A52" s="21" t="inlineStr">
        <is>
          <t>Slots left empty on purpose (no suitable free problem)</t>
        </is>
      </c>
    </row>
    <row r="53">
      <c r="A53" s="16" t="inlineStr">
        <is>
          <t>Cell</t>
        </is>
      </c>
      <c r="B53" s="16" t="inlineStr">
        <is>
          <t>Topic</t>
        </is>
      </c>
      <c r="C53" s="13" t="n"/>
      <c r="D53" s="16" t="inlineStr">
        <is>
          <t>Slot</t>
        </is>
      </c>
      <c r="E53" s="16" t="inlineStr">
        <is>
          <t>Reason</t>
        </is>
      </c>
      <c r="F53" s="28" t="n"/>
      <c r="G53" s="28" t="n"/>
      <c r="H53" s="28" t="n"/>
      <c r="I53" s="28" t="n"/>
      <c r="J53" s="13" t="n"/>
    </row>
    <row r="54" ht="41.7" customHeight="1">
      <c r="A54" s="17" t="inlineStr">
        <is>
          <t>I26</t>
        </is>
      </c>
      <c r="B54" s="18" t="inlineStr">
        <is>
          <t>Recursive CTEs</t>
        </is>
      </c>
      <c r="C54" s="13" t="n"/>
      <c r="D54" s="17" t="inlineStr">
        <is>
          <t>Q5</t>
        </is>
      </c>
      <c r="E54" s="18" t="inlineStr">
        <is>
          <t>No fifth free recursive-CTE problem exists on the approved platforms. LeetCode's other hierarchy / recursion problems (1270, 1384, 1613, 1635, 1767) are Premium; CodeChef's free SQL lessons have no recursive queries; the remaining HackerRank SQL challenges do not need recursion; Codeforces and GeeksforGeeks Practice have no SQL problems.</t>
        </is>
      </c>
      <c r="F54" s="28" t="n"/>
      <c r="G54" s="28" t="n"/>
      <c r="H54" s="28" t="n"/>
      <c r="I54" s="28" t="n"/>
      <c r="J54" s="13" t="n"/>
    </row>
    <row r="55" ht="41.7" customHeight="1">
      <c r="A55" s="17" t="inlineStr">
        <is>
          <t>F27</t>
        </is>
      </c>
      <c r="B55" s="18" t="inlineStr">
        <is>
          <t>Stored Functions &amp; Procedures</t>
        </is>
      </c>
      <c r="C55" s="13" t="n"/>
      <c r="D55" s="17" t="inlineStr">
        <is>
          <t>Q2</t>
        </is>
      </c>
      <c r="E55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  <c r="F55" s="28" t="n"/>
      <c r="G55" s="28" t="n"/>
      <c r="H55" s="28" t="n"/>
      <c r="I55" s="28" t="n"/>
      <c r="J55" s="13" t="n"/>
    </row>
    <row r="56" ht="41.7" customHeight="1">
      <c r="A56" s="17" t="inlineStr">
        <is>
          <t>G27</t>
        </is>
      </c>
      <c r="B56" s="18" t="inlineStr">
        <is>
          <t>Stored Functions &amp; Procedures</t>
        </is>
      </c>
      <c r="C56" s="13" t="n"/>
      <c r="D56" s="17" t="inlineStr">
        <is>
          <t>Q3</t>
        </is>
      </c>
      <c r="E56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  <c r="F56" s="28" t="n"/>
      <c r="G56" s="28" t="n"/>
      <c r="H56" s="28" t="n"/>
      <c r="I56" s="28" t="n"/>
      <c r="J56" s="13" t="n"/>
    </row>
    <row r="57" ht="41.7" customHeight="1">
      <c r="A57" s="17" t="inlineStr">
        <is>
          <t>H27</t>
        </is>
      </c>
      <c r="B57" s="18" t="inlineStr">
        <is>
          <t>Stored Functions &amp; Procedures</t>
        </is>
      </c>
      <c r="C57" s="13" t="n"/>
      <c r="D57" s="17" t="inlineStr">
        <is>
          <t>Q4</t>
        </is>
      </c>
      <c r="E57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  <c r="F57" s="28" t="n"/>
      <c r="G57" s="28" t="n"/>
      <c r="H57" s="28" t="n"/>
      <c r="I57" s="28" t="n"/>
      <c r="J57" s="13" t="n"/>
    </row>
    <row r="58" ht="41.7" customHeight="1">
      <c r="A58" s="17" t="inlineStr">
        <is>
          <t>I27</t>
        </is>
      </c>
      <c r="B58" s="18" t="inlineStr">
        <is>
          <t>Stored Functions &amp; Procedures</t>
        </is>
      </c>
      <c r="C58" s="13" t="n"/>
      <c r="D58" s="17" t="inlineStr">
        <is>
          <t>Q5</t>
        </is>
      </c>
      <c r="E58" s="18" t="inlineStr">
        <is>
          <t>LeetCode 177 is the only free problem that asks for a stored function. LeetCode's stored-procedure problems (2252 Dynamic Pivoting of a Table, 2253 Dynamic Unpivoting of a Table) are Premium; HackerRank and the free CodeChef SQL lessons have no CREATE FUNCTION / PROCEDURE tasks (CodeChef's Transactions lesson is Pro); Codeforces and GeeksforGeeks Practice have no SQL problems.</t>
        </is>
      </c>
      <c r="F58" s="28" t="n"/>
      <c r="G58" s="28" t="n"/>
      <c r="H58" s="28" t="n"/>
      <c r="I58" s="28" t="n"/>
      <c r="J58" s="13" t="n"/>
    </row>
    <row r="60">
      <c r="A60" s="21" t="inlineStr">
        <is>
          <t>How each problem was checked</t>
        </is>
      </c>
    </row>
    <row r="61" ht="28.8" customHeight="1">
      <c r="A61" s="25" t="inlineStr">
        <is>
          <t>•</t>
        </is>
      </c>
      <c r="B61" s="24" t="inlineStr">
        <is>
          <t>Existence, title, difficulty and access were read from each platform's own problem data: LeetCode (GraphQL, including the Premium flag), HackerRank (challenge API) and CodeChef (problem API plus the course / practice-path syllabus, which marks Pro-only lessons).</t>
        </is>
      </c>
    </row>
    <row r="62" ht="15.9" customHeight="1">
      <c r="A62" s="25" t="inlineStr">
        <is>
          <t>•</t>
        </is>
      </c>
      <c r="B62" s="24" t="inlineStr">
        <is>
          <t>Topic fit was judged from the statement and, where the platform publishes one, the reference solution – i.e. the minimum SQL a correct answer needs – not from titles or tags.</t>
        </is>
      </c>
    </row>
    <row r="63" ht="15.9" customHeight="1">
      <c r="A63" s="25" t="inlineStr">
        <is>
          <t>•</t>
        </is>
      </c>
      <c r="B63" s="24" t="inlineStr">
        <is>
          <t>Codeforces and GeeksforGeeks Practice were searched as well; neither has SQL problems, so all problems come from LeetCode, HackerRank and CodeChef.</t>
        </is>
      </c>
    </row>
    <row r="64" ht="15.9" customHeight="1">
      <c r="A64" s="25" t="inlineStr">
        <is>
          <t>•</t>
        </is>
      </c>
      <c r="B64" s="24" t="inlineStr">
        <is>
          <t>Free access means the statement opens without login and the problem is not Premium / Pro-only; submitting needs a free account on every platform.</t>
        </is>
      </c>
    </row>
    <row r="65" ht="15.9" customHeight="1">
      <c r="A65" s="25" t="inlineStr">
        <is>
          <t>•</t>
        </is>
      </c>
      <c r="B65" s="24" t="inlineStr">
        <is>
          <t>Multiple-choice and 'rearrange the query' items on CodeChef were excluded – only problems where you write and submit a query are listed.</t>
        </is>
      </c>
    </row>
    <row r="67">
      <c r="A67" s="21" t="inlineStr">
        <is>
          <t>Assumptions about the teaching sequence</t>
        </is>
      </c>
    </row>
    <row r="68" ht="15.9" customHeight="1">
      <c r="A68" s="25" t="inlineStr">
        <is>
          <t>•</t>
        </is>
      </c>
      <c r="B68" s="24" t="inlineStr">
        <is>
          <t>Topics are taught in the order shown. A problem may use its own topic and any earlier topic, never a later one (e.g. no JOINs before Topic 16, no window functions before Topic 23).</t>
        </is>
      </c>
    </row>
    <row r="69" ht="15.9" customHeight="1">
      <c r="A69" s="25" t="inlineStr">
        <is>
          <t>•</t>
        </is>
      </c>
      <c r="B69" s="24" t="inlineStr">
        <is>
          <t>Table creation (Topic 2) is taught right after SELECT, because the CodeChef lessons for it finish by displaying the table with SELECT *.</t>
        </is>
      </c>
    </row>
    <row r="70" ht="15.9" customHeight="1">
      <c r="A70" s="25" t="inlineStr">
        <is>
          <t>•</t>
        </is>
      </c>
      <c r="B70" s="24" t="inlineStr">
        <is>
          <t>Topic 11 (CASE) includes CASE inside an aggregate; Topic 13 then uses that idea for full pivot and percentage reports.</t>
        </is>
      </c>
    </row>
    <row r="71" ht="15.9" customHeight="1">
      <c r="A71" s="25" t="inlineStr">
        <is>
          <t>•</t>
        </is>
      </c>
      <c r="B71" s="24" t="inlineStr">
        <is>
          <t>Difficulty shows the level within the topic (Easy / Medium / Challenging) with the platform's own label in brackets.</t>
        </is>
      </c>
    </row>
    <row r="73">
      <c r="A73" s="21" t="inlineStr">
        <is>
          <t>SQL engines</t>
        </is>
      </c>
    </row>
    <row r="74" ht="15.9" customHeight="1">
      <c r="A74" s="25" t="inlineStr">
        <is>
          <t>•</t>
        </is>
      </c>
      <c r="B74" s="24" t="inlineStr">
        <is>
          <t>LeetCode: MySQL, MS SQL Server, Oracle, PostgreSQL. HackerRank: MySQL, MS SQL Server, Oracle, DB2 (a few challenges omit DB2).</t>
        </is>
      </c>
    </row>
    <row r="75" ht="15.9" customHeight="1">
      <c r="A75" s="25" t="inlineStr">
        <is>
          <t>•</t>
        </is>
      </c>
      <c r="B75" s="24" t="inlineStr">
        <is>
          <t>CodeChef 'Learn SQL' and 'Learn Advanced SQL' lessons run on SQLite (dates use strftime / JULIANDAY). The 'SQL Practice Queries' path uses MySQL syntax.</t>
        </is>
      </c>
    </row>
    <row r="76" ht="15.9" customHeight="1">
      <c r="A76" s="25" t="inlineStr">
        <is>
          <t>•</t>
        </is>
      </c>
      <c r="B76" s="24" t="inlineStr">
        <is>
          <t>For HackerRank window-function and recursive problems, pick an engine that supports them (MS SQL Server always does).</t>
        </is>
      </c>
    </row>
    <row r="78">
      <c r="A78" s="21" t="inlineStr">
        <is>
          <t>Legend for 'SQL Practice Links'</t>
        </is>
      </c>
    </row>
    <row r="79" ht="15" customHeight="1">
      <c r="B79" s="29" t="inlineStr">
        <is>
          <t>LeetCode</t>
        </is>
      </c>
      <c r="C79" s="24" t="inlineStr">
        <is>
          <t>LeetCode Database problem (free).</t>
        </is>
      </c>
    </row>
    <row r="80" ht="15" customHeight="1">
      <c r="B80" s="30" t="inlineStr">
        <is>
          <t>HackerRank</t>
        </is>
      </c>
      <c r="C80" s="24" t="inlineStr">
        <is>
          <t>HackerRank SQL challenge (free).</t>
        </is>
      </c>
    </row>
    <row r="81" ht="15" customHeight="1">
      <c r="B81" s="31" t="inlineStr">
        <is>
          <t>CodeChef</t>
        </is>
      </c>
      <c r="C81" s="24" t="inlineStr">
        <is>
          <t>CodeChef SQL lesson or practice problem (free, non-Pro).</t>
        </is>
      </c>
    </row>
    <row r="82" ht="26" customHeight="1">
      <c r="B82" s="32" t="inlineStr">
        <is>
          <t>Not available – see Validation Report</t>
        </is>
      </c>
      <c r="C82" s="24" t="inlineStr">
        <is>
          <t>No suitable free problem exists for this slot (reasons above).</t>
        </is>
      </c>
    </row>
  </sheetData>
  <mergeCells count="57">
    <mergeCell ref="E19:J19"/>
    <mergeCell ref="B16:C16"/>
    <mergeCell ref="B54:C54"/>
    <mergeCell ref="E10:J10"/>
    <mergeCell ref="B7:C7"/>
    <mergeCell ref="B61:J61"/>
    <mergeCell ref="E9:J9"/>
    <mergeCell ref="B18:C18"/>
    <mergeCell ref="B56:C56"/>
    <mergeCell ref="E6:J6"/>
    <mergeCell ref="B69:J69"/>
    <mergeCell ref="C79:J79"/>
    <mergeCell ref="E15:J15"/>
    <mergeCell ref="B12:C12"/>
    <mergeCell ref="B58:C58"/>
    <mergeCell ref="E11:J11"/>
    <mergeCell ref="B11:C11"/>
    <mergeCell ref="B14:C14"/>
    <mergeCell ref="E57:J57"/>
    <mergeCell ref="B17:C17"/>
    <mergeCell ref="B65:J65"/>
    <mergeCell ref="B57:C57"/>
    <mergeCell ref="B8:C8"/>
    <mergeCell ref="B74:J74"/>
    <mergeCell ref="B53:C53"/>
    <mergeCell ref="E54:J54"/>
    <mergeCell ref="B68:J68"/>
    <mergeCell ref="E7:J7"/>
    <mergeCell ref="B64:J64"/>
    <mergeCell ref="C80:J80"/>
    <mergeCell ref="A1:J1"/>
    <mergeCell ref="E16:J16"/>
    <mergeCell ref="B19:C19"/>
    <mergeCell ref="B10:C10"/>
    <mergeCell ref="B76:J76"/>
    <mergeCell ref="E18:J18"/>
    <mergeCell ref="E53:J53"/>
    <mergeCell ref="E56:J56"/>
    <mergeCell ref="B63:J63"/>
    <mergeCell ref="E12:J12"/>
    <mergeCell ref="B9:C9"/>
    <mergeCell ref="E58:J58"/>
    <mergeCell ref="B75:J75"/>
    <mergeCell ref="B62:J62"/>
    <mergeCell ref="B55:C55"/>
    <mergeCell ref="B6:C6"/>
    <mergeCell ref="E55:J55"/>
    <mergeCell ref="B15:C15"/>
    <mergeCell ref="C82:J82"/>
    <mergeCell ref="B5:C5"/>
    <mergeCell ref="C81:J81"/>
    <mergeCell ref="E5:J5"/>
    <mergeCell ref="E17:J17"/>
    <mergeCell ref="E8:J8"/>
    <mergeCell ref="B71:J71"/>
    <mergeCell ref="A2:J2"/>
    <mergeCell ref="B70:J70"/>
  </mergeCells>
  <conditionalFormatting sqref="D24:D49">
    <cfRule type="expression" priority="1" dxfId="0">
      <formula>$D24=5</formula>
    </cfRule>
  </conditionalFormatting>
  <conditionalFormatting sqref="F24:F49">
    <cfRule type="expression" priority="2" dxfId="2">
      <formula>$F24&gt;0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2026-10-04T02:58:51Z</dcterms:created>
  <dcterms:modified xmlns:dcterms="http://purl.org/dc/terms/" xmlns:xsi="http://www.w3.org/2001/XMLSchema-instance" xsi:type="dcterms:W3CDTF">2026-10-04T02:58:51Z</dcterms:modified>
</cp:coreProperties>
</file>